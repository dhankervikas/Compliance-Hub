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318" documentId="8_{A186BEDE-FCEE-4CF8-9D77-99BA11129AB4}" xr6:coauthVersionLast="47" xr6:coauthVersionMax="47" xr10:uidLastSave="{B08A3974-C36A-4C4C-AC53-5EDD1FD627AE}"/>
  <bookViews>
    <workbookView xWindow="28690" yWindow="-110" windowWidth="29020" windowHeight="15700" activeTab="3" xr2:uid="{02EC9010-0286-4BE3-B66C-CFCBE06F1C90}"/>
  </bookViews>
  <sheets>
    <sheet name="Introduction" sheetId="6" r:id="rId1"/>
    <sheet name="Scoring Matrix" sheetId="1" r:id="rId2"/>
    <sheet name="Domain Summary" sheetId="2" r:id="rId3"/>
    <sheet name="Radar Data" sheetId="3" r:id="rId4"/>
    <sheet name="Methodology" sheetId="4" r:id="rId5"/>
    <sheet name="Abbreviation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B12" i="3" s="1"/>
  <c r="B13" i="2"/>
  <c r="B13" i="3" s="1"/>
  <c r="B14" i="2"/>
  <c r="B14" i="3" s="1"/>
  <c r="I2" i="1"/>
  <c r="I3" i="1"/>
  <c r="I4" i="1"/>
  <c r="I5" i="1"/>
  <c r="B2" i="2" s="1"/>
  <c r="I6" i="1"/>
  <c r="B3" i="2" s="1"/>
  <c r="B3" i="3" s="1"/>
  <c r="I7" i="1"/>
  <c r="B4" i="2" s="1"/>
  <c r="B4" i="3" s="1"/>
  <c r="I8" i="1"/>
  <c r="B5" i="2" s="1"/>
  <c r="B5" i="3" s="1"/>
  <c r="I9" i="1"/>
  <c r="B6" i="2" s="1"/>
  <c r="B6" i="3" s="1"/>
  <c r="I10" i="1"/>
  <c r="B7" i="2" s="1"/>
  <c r="B7" i="3" s="1"/>
  <c r="I11" i="1"/>
  <c r="B8" i="2" s="1"/>
  <c r="B8" i="3" s="1"/>
  <c r="I12" i="1"/>
  <c r="B9" i="2" s="1"/>
  <c r="B9" i="3" s="1"/>
  <c r="I13" i="1"/>
  <c r="B10" i="2" s="1"/>
  <c r="B10" i="3" s="1"/>
  <c r="I14" i="1"/>
  <c r="B11" i="2" s="1"/>
  <c r="B11" i="3" s="1"/>
  <c r="I15" i="1"/>
  <c r="I16" i="1"/>
  <c r="I17" i="1"/>
  <c r="I18" i="1"/>
  <c r="I19" i="1"/>
  <c r="I20" i="1"/>
  <c r="I21" i="1"/>
  <c r="I22" i="1"/>
  <c r="I23" i="1"/>
  <c r="I24" i="1"/>
  <c r="I25" i="1"/>
  <c r="I26" i="1"/>
  <c r="I27" i="1"/>
  <c r="I28" i="1"/>
  <c r="B16" i="2" s="1"/>
  <c r="B16" i="3" s="1"/>
  <c r="I29" i="1"/>
  <c r="I30" i="1"/>
  <c r="I31" i="1"/>
  <c r="B17" i="2" s="1"/>
  <c r="B17" i="3" s="1"/>
  <c r="I32" i="1"/>
  <c r="I33" i="1"/>
  <c r="B18" i="2" s="1"/>
  <c r="B18" i="3" s="1"/>
  <c r="I34" i="1"/>
  <c r="B19" i="2" s="1"/>
  <c r="B19" i="3" s="1"/>
  <c r="I35" i="1"/>
  <c r="B20" i="2" s="1"/>
  <c r="B20" i="3" s="1"/>
  <c r="I36" i="1"/>
  <c r="B21" i="2" s="1"/>
  <c r="B21" i="3" s="1"/>
  <c r="I37" i="1"/>
  <c r="B22" i="2" s="1"/>
  <c r="B22" i="3" s="1"/>
  <c r="I38" i="1"/>
  <c r="B23" i="2" s="1"/>
  <c r="B23" i="3" s="1"/>
  <c r="I39" i="1"/>
  <c r="B24" i="2" s="1"/>
  <c r="B24" i="3" s="1"/>
  <c r="B15" i="2" l="1"/>
  <c r="B15" i="3" s="1"/>
  <c r="B2" i="3"/>
</calcChain>
</file>

<file path=xl/sharedStrings.xml><?xml version="1.0" encoding="utf-8"?>
<sst xmlns="http://schemas.openxmlformats.org/spreadsheetml/2006/main" count="416" uniqueCount="341">
  <si>
    <t>Domain Name</t>
  </si>
  <si>
    <t>Clause / Control No.</t>
  </si>
  <si>
    <t>Control Description</t>
  </si>
  <si>
    <t>Requirements (Shall)</t>
  </si>
  <si>
    <t>Testing Procedure</t>
  </si>
  <si>
    <t>Evidence to Be Reviewed</t>
  </si>
  <si>
    <t>Scope Definition</t>
  </si>
  <si>
    <t>Identification of AI systems processing personal or inferable data</t>
  </si>
  <si>
    <t>The organization shall identify and document all AI systems that process personal data, pseudonymized data, biometric data, behavioral data, or data capable of identifying individuals through inference.</t>
  </si>
  <si>
    <t>2.1.1</t>
  </si>
  <si>
    <t>Inclusion Criteria</t>
  </si>
  <si>
    <t>2.1.2</t>
  </si>
  <si>
    <t>Third-party AI Systems</t>
  </si>
  <si>
    <t>2.1.3</t>
  </si>
  <si>
    <t>Inference-Based Identification</t>
  </si>
  <si>
    <t>Data Processing</t>
  </si>
  <si>
    <t>Boundaries</t>
  </si>
  <si>
    <t>Regulatory Context</t>
  </si>
  <si>
    <t>Lifecycle</t>
  </si>
  <si>
    <t>Scope Exclusions</t>
  </si>
  <si>
    <t>KPI Domain: Re-ID &amp; Leakage</t>
  </si>
  <si>
    <t>KPI Domain: Data Governance</t>
  </si>
  <si>
    <t>KPI Domain: Lifecycle Controls</t>
  </si>
  <si>
    <t>KPI Domain: Transparency</t>
  </si>
  <si>
    <t>KPI Domain: Third-Party</t>
  </si>
  <si>
    <t>KPI Domain: Incident Response</t>
  </si>
  <si>
    <t>KPI Domain: Reporting</t>
  </si>
  <si>
    <t>KPI Reporting Requirement</t>
  </si>
  <si>
    <t>Report AI privacy KPIs to management.</t>
  </si>
  <si>
    <t>Core Risk Theme</t>
  </si>
  <si>
    <t>Data Collection Risk</t>
  </si>
  <si>
    <t>Identify risks in how personal data is collected for AI use.</t>
  </si>
  <si>
    <t>Dataset Preparation &amp; Transformation Risk</t>
  </si>
  <si>
    <t>Identify risks in labeling, transforming, or de-identifying data.</t>
  </si>
  <si>
    <t>Model Training &amp; Learning Risk</t>
  </si>
  <si>
    <t>Inference &amp; Output Risk</t>
  </si>
  <si>
    <t>Data Storage &amp; Retention Risk</t>
  </si>
  <si>
    <t>Third-Party &amp; Supply Chain Risk</t>
  </si>
  <si>
    <t>Monitoring, Drift &amp; Operational Risk</t>
  </si>
  <si>
    <t>Identify risks from changes in AI behavior over time.</t>
  </si>
  <si>
    <t>Incident &amp; Harm Risk</t>
  </si>
  <si>
    <t>Identify risks where AI causes privacy harm or incidents.</t>
  </si>
  <si>
    <t>Rights &amp; Transparency Risk</t>
  </si>
  <si>
    <t>Identify risks related to DSARs, consent, and transparency.</t>
  </si>
  <si>
    <t>Governance</t>
  </si>
  <si>
    <t>A.1</t>
  </si>
  <si>
    <t>AI Privacy Governance</t>
  </si>
  <si>
    <t>Assign roles and responsibilities for managing AI data privacy risks.</t>
  </si>
  <si>
    <t>A.2</t>
  </si>
  <si>
    <t>AI Privacy Risk Register</t>
  </si>
  <si>
    <t>Maintain a risk register covering AI-specific privacy risks.</t>
  </si>
  <si>
    <t>A.3</t>
  </si>
  <si>
    <t>Regulatory Alignment</t>
  </si>
  <si>
    <t>Map applicable global privacy laws to AI data processing.</t>
  </si>
  <si>
    <t>Lawful Basis</t>
  </si>
  <si>
    <t>A.4</t>
  </si>
  <si>
    <t>Lawful Basis for AI Data Use</t>
  </si>
  <si>
    <t>Document lawful grounds for using personal data in AI.</t>
  </si>
  <si>
    <t>A.5</t>
  </si>
  <si>
    <t>Purpose Limitation</t>
  </si>
  <si>
    <t>Data Minimization</t>
  </si>
  <si>
    <t>A.6</t>
  </si>
  <si>
    <t>Data Minimization Controls</t>
  </si>
  <si>
    <t>De-Identification</t>
  </si>
  <si>
    <t>A.7</t>
  </si>
  <si>
    <t>De-Identification Controls</t>
  </si>
  <si>
    <t>Re-Identification</t>
  </si>
  <si>
    <t>A.8</t>
  </si>
  <si>
    <t>Re-Identification Risk Management</t>
  </si>
  <si>
    <t>Output Privacy</t>
  </si>
  <si>
    <t>A.9</t>
  </si>
  <si>
    <t>Output Privacy Controls</t>
  </si>
  <si>
    <t>Inference Risk</t>
  </si>
  <si>
    <t>A.10</t>
  </si>
  <si>
    <t>Inference Risk Mitigation</t>
  </si>
  <si>
    <t>Transparency</t>
  </si>
  <si>
    <t>A.11</t>
  </si>
  <si>
    <t>Transparency &amp; User Rights</t>
  </si>
  <si>
    <t>Monitoring</t>
  </si>
  <si>
    <t>A.12</t>
  </si>
  <si>
    <t>Monitoring &amp; Incident Response</t>
  </si>
  <si>
    <t>• Review AI system inventory for completeness and accuracy. • Interview AI, privacy, security, and data engineering teams to confirm no systems are missing, including shadow/unauthorized AI use. • Verify inclusion of all training, fine-tuning, inference, embedded AI features, vector stores, and third-party AI services. • Validate that inferable data (embeddings, behavioral patterns, model-derived attributes) is included in scope. • Check linkage between system inventory, model registry, data flow diagrams, and architecture diagrams.</t>
  </si>
  <si>
    <t>• AI system inventory (with model names, versions, owners, purpose, dataset references). • Data flow diagrams showing personal/inferable data paths. • Model registry entries including training, tuning, and inference models. • Architecture diagrams showing data ingestion, feature stores, vector databases, and inference endpoints. • List of third-party AI APIs/services. • Documentation confirming inclusion of embedded AI in existing products/platforms.</t>
  </si>
  <si>
    <t>The organization shall include third-party AI services, APIs, or hosted AI capabilities that process personal data, pseudonymized data, behavioral data, biometric data, or any data that can lead to identification by inference.</t>
  </si>
  <si>
    <t>• Review third-party vendor list and confirm all AI-enabled services are included. • Confirm AI API usage across teams (e.g., ChatGPT API, cloud AI services, analytics AI features). • Validate data-sharing agreements, DPAs, and permitted use clauses. • Verify that external model providers do not retain, train, or derive data beyond contractual terms. • Interview engineering, procurement, and privacy teams to identify unreported or shadow AI tools.</t>
  </si>
  <si>
    <t>• Vendor inventory including AI services and APIs. • Contracts/DPAs with explicit AI data-use clauses. • API usage logs showing data sent to external AI providers. • Procurement records for SaaS tools with embedded AI. • Third-party risk assessments. • Data flow diagrams showing outbound data to external AI.</t>
  </si>
  <si>
    <t>AI systems shall be included in scope if they use, generate, transform, infer, or expose personal data, pseudonymized data, biometric data, behavioral data, or any data capable of identifying individuals through inference at any stage of the AI lifecycle (collection, training, tuning, inference, storage, or output).</t>
  </si>
  <si>
    <t>• Confirm inclusion criteria are applied consistently across all business units and AI workflows. • Sample AI systems (training models, inference endpoints, embedded AI features, vector stores, LLM integrations) to validate classification accuracy. • Verify that inferable data (embeddings, user behavior patterns, model-derived attributes) is included in the scoping methodology. • Interview privacy, AI/ML, and engineering teams to confirm no systems are omitted.</t>
  </si>
  <si>
    <t>• Inclusion criteria document defining how personal and inferable data triggers scope inclusion. • List of in-scope vs. out-of-scope AI systems with justification. • Cross-functional validation records (AI, Privacy, Security). • Mapping of datasets to AI systems showing why each is included/excluded.</t>
  </si>
  <si>
    <t>AI systems capable of inferring, predicting, or reconstructing personal attributes (e.g., identity, demographics, behavior, health traits, preferences, biometric features) from non-identifying inputs shall be classified as in scope. This includes models that generate embeddings, probabilistic scores, or inferred labels that can reveal or approximate personal characteristics.</t>
  </si>
  <si>
    <t>• Test model outputs to detect potential inference of personal or sensitive attributes (demographics, behavior, location, identity signals). • Interview ML engineers to understand model architecture and whether inference capabilities are intentional, emergent, or incidental. • Review feature engineering steps and embedding models to determine whether they enable identity reconstruction. • Confirm that systems capable of predicting or inferring user traits—even without explicit personal data—are included in scope.</t>
  </si>
  <si>
    <t>• Model testing results showing inferred attributes or privacy leakage. • Privacy impact assessments identifying inference-related risks. • Output evaluation logs documenting inference behavior. • Feature engineering documentation. • Embedding generation and vector store documentation.</t>
  </si>
  <si>
    <t>Domain</t>
  </si>
  <si>
    <t>Dataset Minimization, Lawful Basis Validation, Retention &amp; Deletion Compliance</t>
  </si>
  <si>
    <t>• Review preprocessing workflows to assess how personal data is minimized, including redaction, anonymization, feature reduction, or pseudonymization steps. • Inspect dataset attribute lists and data dictionaries to verify removal of unnecessary or high-risk personal data elements before AI model training or inference. • Interview dataset owners to understand minimization criteria and confirm consistency across datasets. • Inspect dataset source records to verify that a lawful basis exists for each dataset (e.g., consent, contract, legal obligation, legitimate interest). • Cross-check dataset provenance documentation and confirm no dataset is used beyond its authorized purpose or processing justification. • Validate how the “% of datasets with lawful basis” metric is calculated and maintained. • Review deletion logs and system audit trails to ensure datasets are deleted or archived according to defined retention schedules. • Compare system behavior against the retention policy to confirm no dataset exceeds its permitted lifecycle. • Check approval records for retention timelines and evaluate any exceptions or overrides. • Verify that retention and deletion activities are recorded, traceable, and mapped to AI lifecycle stages.</t>
  </si>
  <si>
    <t>• Dataset minimization documentation (attribute removal logs, preprocessing workflows, redaction/pseudonymization evidence). • Data dictionaries and preprocessing scripts. • Lawful basis records (registers, consents, contractual clauses, DPAs, provenance statements). • Dataset source documentation and purpose-limitation statements. • Retention audit logs and deletion logs showing adherence to schedules. • Retention policies and approved retention schedules. • System-generated deletion reports, audit trails, and exception/override approvals.</t>
  </si>
  <si>
    <r>
      <t>3.2.a:</t>
    </r>
    <r>
      <rPr>
        <sz val="11"/>
        <color theme="1"/>
        <rFont val="Aptos Narrow"/>
        <family val="2"/>
        <scheme val="minor"/>
      </rPr>
      <t xml:space="preserve"> Measure personal data minimization level. 3.2.b: Measure % of datasets with lawful basis. 3.2.c: Measure retention/deletion adherence.</t>
    </r>
  </si>
  <si>
    <t>AI-Related Data Processing Activities Across the Lifecycle</t>
  </si>
  <si>
    <t>The organization shall document all AI-related data processing activities across the full lifecycle, including data collection, ingestion, labeling, annotation, transformation, feature engineering, embedding creation, training, fine-tuning, inference, retention, storage, sharing with third parties, and deletion. Documentation shall specify what personal, sensitive, or inferable data exists at each stage.Data collection must be lawful, purpose-limited, minimized, and transparent. Dataset preparation must be documented, showing suppression of identifiers, de-identification, annotation controls, and privacy-risk mitigation. Training and fine-tuning using personal data must be documented and risk-assessed. Inference must be monitored for leakage or sensitive-attribute inference. Retention/deletion must follow defined schedules and automated deletion workflows. Automated decision-making (ADM) must be documented with safeguards and user rights. Third parties processing AI-related data must meet privacy and security obligations.</t>
  </si>
  <si>
    <t>• Review AI-specific ROPA or equivalent documentation to confirm full mapping of data processing activities from collection → ingestion → preparation → training → inference → storage → deletion. Validate completeness of data categories (personal, sensitive, behavioral, biometric, inferable).• Inspect all data collection pipelines; confirm lawful basis, consent records, contractual/legal justification, transparency notices, and minimization practices. Interview data engineers to confirm no undocumented ingestion pipelines exist.• Review dataset preparation workflows, including cleaning, normalization, labeling, annotation, feature engineering, pseudonymization, and de-identification. Validate suppression of identifiers, transformed attributes, and access controls for annotators.• Evaluate training and fine-tuning datasets, lineage, preprocessing steps, DPIA/PIA documentation, and confirm no shadow/undocumented datasets are used.• Test inference outputs for direct/indirect privacy leakage, reconstruction risks, attribute inference, and evaluate guardrail filters, redaction layers, and monitoring dashboards.• Review retention schedules for all AI datasets, embeddings, inference logs, checkpoints, vector stores; confirm deletion logs, TTL rules, and lifecycle automation remove expired or intermediate data.• Assess ADM workflows including profiling logic, scoring, eligibility decisions, human-in-the-loop controls, override mechanisms, and user notification processes.• Review third-party DPAs and contracts; verify AI-related restrictions on training, retention, inference, reuse, and subprocessor transparency. Validate vendor assessments, certifications, and periodic reviews.</t>
  </si>
  <si>
    <t>• AI Records of Processing Activities (ROPA) covering full AI data lifecycle.• Data source inventory; lawful basis documentation; consent records; privacy notices with AI disclosures; ingestion pipeline documentation (APIs, ETL, automated loaders).• Transformation scripts; annotation guidelines; feature engineering documentation; pseudonymization/de-identification logs; access control logs for annotators; masking/suppression records.• Training dataset documentation; DPIA/PIA reports; training logs; dataset lineage; approvals of training datasets; schema documentation.• Output leakage test logs; guardrail configuration files; inference monitoring dashboards; filtering rules; evaluation cycle evidence.• Retention policy; storage lifecycle configurations (S3 TTL, Blob lifecycle, GCS lifecycle); automated deletion logs; deletion tickets; retention/deletion mapping per AI system.• ADM decision logs; profiling documentation; transparency notices; user notification evidence; human oversight logs; ADM risk assessments.• Vendor DPAs; SOC 2/ISO 27001/ISO 27701 certificates; vendor AI risk assessments; subprocessor lists; contractual AI-use restrictions; third-party data flow diagrams; vendor reassessment records.</t>
  </si>
  <si>
    <t>Organizational Boundaries for AI Privacy</t>
  </si>
  <si>
    <t>The organization shall define all internal functions and external entities involved in AI data processing. Internal teams that collect, transform, label, train, evaluate, or consume AI data must be documented. External processors, vendors, cloud services, and subprocessors must be included in scope. Global data transfers for AI must be documented. Supporting infrastructure—including feature stores, pipelines, training systems, inference environments, labeling systems, and registries—must be included in the AI privacy boundary. Boundaries must distinguish controllers, processors, subprocessors, and responsibilities for privacy compliance across the full AI lifecycle.</t>
  </si>
  <si>
    <t>• Review boundary documentation to confirm which business units, internal teams (AI/ML, Data Engineering, Governance, Privacy, Security, Legal, Compliance, Operations), external vendors, and cloud providers participate in AI data processing activities such as collection, transformation, labeling, training, model evaluation, inference, storage, or hosting.• Interview stakeholders to validate that internal contributors (e.g., analytics teams, DevOps hosting models, product teams using inference outputs) and external entities (annotation vendors, SaaS AI providers, cloud ML pipelines) are accurately identified and mapped.• Confirm controller/processor/subprocessor designations and verify that DPAs align with AI data processing roles.• Validate that all international transfers—dataset movement, offshore labeling, global training clusters, cross-region inference—are documented and covered by SCCs/BCRs/TIAs.• Inspect architecture diagrams to ensure all AI-related infrastructure components (feature stores, data pipelines, vector databases, registries, training clusters, inference endpoints) are included in boundary mappings and reflect actual deployed environments.• Evaluate whether data flows include privacy controls (access restrictions, logging, lineage tracking, retention enforcement).• Verify boundaries include cloud AI services and pipelines that process personal data (AWS Sagemaker, Vertex AI, Azure ML).</t>
  </si>
  <si>
    <t>• AI governance boundary maps showing internal teams, data flows, and external entities.• RACI matrices and team ownership lists identifying responsibilities for dataset approvals, transformations, training, evaluation, and monitoring.• Vendor lists annotated with AI processing roles, DPAs, AI-specific contractual restrictions, subprocessor disclosures, vendor risk assessments, and audit reports.• Data transfer documentation including SCCs/BCRs, TIAs/TRAs, cross-region transfer logs, and geo-boundary diagrams for AI systems.• Architecture diagrams covering all AI pipelines, feature stores, training clusters, inference endpoints, registries, ETLs, and API gateways.• Pipeline logs showing ingestion, transformation, feature generation, training triggers, inference traffic, and synchronization events.• Configuration documentation (Terraform/CloudFormation/IaC) specifying AI-related infrastructure pathways.• IAM/access logs demonstrating role-based access to AI components, storage layers, and cloud pipelines.</t>
  </si>
  <si>
    <t>Applicability of Global AI Privacy Requirements</t>
  </si>
  <si>
    <t>The organization shall map applicable privacy laws and contractual obligations to AI systems. All data use must comply with legal and contractual restrictions. Global data protection requirements must be applied to AI data flows. Suppliers must meet AI privacy standards. The organization shall identify privacy laws, regulatory requirements, sectoral obligations, and cross-border transfer rules impacting AI data processing. Contractual restrictions (DPAs, MSAs, SLAs) governing AI data use—including limitations on training, fine-tuning, profiling, retention, and automated decision-making—must be reflected in AI workflows. AI systems must comply with jurisdictional requirements for international data transfers using SCCs, BCRs, adequacy decisions, or other approved mechanisms. Third-party vendors participating in the AI lifecycle must comply with AI privacy requirements, provide attestations, restrict secondary use, disclose subprocessors, and maintain certifications or equivalent assurances.</t>
  </si>
  <si>
    <t>• Review the global AI privacy applicability matrix to confirm mapping of all applicable privacy laws and regulatory requirements (GDPR, CPRA, LGPD, PDPA, PIPEDA, HIPAA, sectoral rules, AI-specific frameworks such as EU AI Act, OECD, NIST AI RMF).• Validate that each AI system is evaluated for handling personal, sensitive, biometric, behavioral, or inferred data, and that legal/contractual obligations are correctly mapped.• Assess the completeness of contractual restrictions in DPAs, MSAs, SLAs—including purpose limitation, data-use prohibitions, retention limits, profiling restrictions, automated decision-making constraints, and cross-border limitations.• Interview teams to confirm no undocumented repurposing or expanded AI use is occurring without customer approval.• Review cross-border transfer mechanisms for all AI data flows (training, fine-tuning, annotation, evaluation, inference, model hosting, feature stores, ML Ops systems). Confirm SCCs, BCRs, TIAs, routing controls, and regional deployment compliance.• Validate controls preventing shadow transfers via third-party AI tools, global inference endpoints, or cloud model APIs.• Assess third-party suppliers’ adherence to AI privacy standards—confirm attestations, contractual AI-specific restrictions, subprocessor disclosures, SOC 2 AI controls, NIST AI RMF alignment, ISO 42001 readiness, and annual reassessments.• Verify governance ensures updates when new jurisdictions, AI models, or data categories introduce new obligations.</t>
  </si>
  <si>
    <t>• Privacy law applicability matrix covering all AI data uses and system categories.• Legal assessments mapping regulatory requirements to AI system processing (training, inference, profiling, ADM).• Compliance mapping tables showing alignment between laws, controls, and responsible teams.• DPAs, MSAs, SLAs with AI-related restrictions (training prohibitions, purpose-limitation clauses, retention limits, cross-border conditions).• Approval logs for exceptions or explicit customer consent for expanded AI use.• SCCs, BCRs, adequacy evidence, and TIA/DTIA assessments supporting AI dataset transfers.• Cross-border data transfer logs, ML platform routing diagrams, cloud region configuration documentation.• Vendor attestations confirming AI data-handling restrictions and lawful use.• Subprocessor lists, vendor compliance reports, external audit summaries (SOC 2 with AI controls, ISO certifications).• Supplier model/data-handling protocols, evidence of compliance monitoring, and periodic reassessments.</t>
  </si>
  <si>
    <t>Application of Privacy Controls Across the AI Lifecycle</t>
  </si>
  <si>
    <t>AI privacy controls must be consistently implemented at every phase of the AI lifecycle. This includes ensuring lawful and transparent data collection; enforcing privacy-preserving transformations during data preparation; performing privacy risk assessments prior to model training; embedding technical and organizational safeguards in deployment workflows; monitoring inference outputs for privacy leakage or unauthorized attribute prediction; implementing continuous oversight mechanisms to detect drift or misuse; and applying strict retention, archival, and deletion procedures when models or datasets are retired. Controls must be aligned with regulatory obligations and internal governance frameworks and must be traceable across all lifecycle stages to demonstrate end-to-end accountability for AI privacy. Each AI lifecycle stage must have clearly documented privacy controls that define how personal and inferable data is handled from initial collection to final decommissioning. Controls must specify privacy risks, required safeguards, approval steps, validation checkpoints, data handling instructions, and responsibilities for all teams involved. These controls must be mapped to regulatory obligations and integrated into operational SOPs so that privacy requirements are consistently applied across data collection, preparation, model training, validation, deployment, monitoring, drift detection, incident handling, and retirement. Documentation must demonstrate a structured, end-to-end privacy governance model that ensures no lifecycle stage introduces unmitigated privacy risk.</t>
  </si>
  <si>
    <t>• Review lifecycle documentation to verify privacy steps are explicitly integrated into every lifecycle phase (collection, preprocessing, development, training, validation, deployment, runtime monitoring, drift detection, incident response, and retirement).• Inspect operational controls such as privacy risk assessment gates, approval workflows, privacy checkpoints, drift monitoring dashboards, and model-decommissioning procedures.• Validate that decommissioning steps include removal of training datasets, logs containing personal or inferable data, cached artifacts, and model versions capable of inferring personal attributes.• Evaluate workflows from each lifecycle stage to confirm mandatory privacy protections (minimization, legal basis validation, DPIA gates, leakage testing, monitoring alerts, retention &amp; deletion checks) are embedded.• Confirm approval workflows include AI privacy review and documented sign-off checkpoints.• Interview ML, data, and engineering teams to verify lifecycle controls are consistently followed and that roles for AI privacy oversight are clear.• Validate traceability mechanisms (audit logs, workflow history, tooling) that demonstrate lifecycle controls were executed as required without gaps.</t>
  </si>
  <si>
    <t>• AI lifecycle model and end-to-end lifecycle documentation.• SOPs for AI lifecycle stages (collection → retirement).• Privacy checkpoints in development and deployment workflows.• Model decommissioning procedures and deletion logs.• Privacy risk assessment templates, DPIA gates, and approval workflow records.• Monitoring dashboards showing privacy alerts, drift detection, or leakage flags.• Lifecycle control matrices and stage-specific privacy checklists.• Workflow history logs or audit trails showing that lifecycle privacy controls were executed and approved.</t>
  </si>
  <si>
    <t>Criteria &amp; Justification for Excluding AI Systems</t>
  </si>
  <si>
    <t>AI systems shall be excluded from the AI privacy scope only when it is demonstrably proven that the system does not process, transform, store, infer, or generate any personal data or any data that could reasonably lead to identification through inference. Documentation must clearly justify the exclusion and demonstrate that no lifecycle stage—collection, preparation, training, inference, monitoring, or outputs—includes personal or inferable data. Exclusions must undergo a formal review and approval process by privacy, legal, data governance, and AI governance functions to prevent incorrect exclusion of systems capable of indirect identification, attribute inference, or unintended privacy risk. Exclusions shall be fully documented and approved by AI privacy governance. The justification must clearly demonstrate why the system qualifies for exclusion and include analysis of inputs, intermediate transformations, trained model behavior, outputs, and monitoring logs to ensure no inference risk exists. All exclusion rationales must follow an approval workflow and periodic revalidation process.</t>
  </si>
  <si>
    <t>• Review the exclusion inventory to confirm completeness and accuracy of systems considered out-of-scope.• Sample excluded systems to evaluate whether any lifecycle stage could process or generate personal or inferable data.• Validate that exclusion justifications include technical evidence such as schema reviews, output analysis, data flow tracing, architectural diagrams, and confirmation of non-inferable outputs.• Confirm closure of a formal review and approval workflow involving privacy, legal, data governance, and AI governance functions.• Verify that systems were not self-approved by system owners and required independent sign-off.• Assess periodic revalidation records to ensure exclusions remain accurate as systems evolve or ingest new data types.• Confirm monitoring or governance logs exist to demonstrate systems have not changed or begun processing personal data.</t>
  </si>
  <si>
    <t>• Exclusion justification forms and approval records.• Governance approval logs (privacy, legal, AI governance).• System architecture diagrams or schema documentation proving absence of personal or inferable data.• Data flow diagrams confirming non-personal data pathways.• Output analysis and model behavior evidence demonstrating no inference risk.• Review logs showing periodic revalidation of exclusions.• Technical evidence supporting exclusion (e.g., monitoring logs, transformation analysis, intermediate artifacts).</t>
  </si>
  <si>
    <t>Re-Identification Risk Score, Privacy Leakage Events, and Model Memorization Indicator</t>
  </si>
  <si>
    <t>The organization shall measure and monitor re-identification (re-ID) risk at defined intervals using documented quantitative or qualitative methods, maintaining a scoring model that evaluates the likelihood that personal, pseudonymized, or transformed data used in AI systems could be linked back to an individual. The score shall incorporate dataset composition, model outputs, transformation techniques, and inference behavior, with trends monitored, thresholds defined, and remediation triggered when risk increases. The organization shall also track, record, and analyze all privacy leakage events arising from AI model outputs, including memorized personal data, unintended sensitive attribute exposure, verbatim reproduction of training data, or inference-based disclosures. Leakage detection must be proactive through red-team tests, adversarial queries, and automated monitoring tools, with all events logged, categorized, tied to remediation, and fed into model updates. The organization shall further monitor for model memorization using probing tests, extraction attempts, nearest-neighbor checks, and other evaluation tools. Thresholds must be defined for acceptable memorization risk, and any confirmed instance of memorized personal data must trigger mitigation, retraining, dataset correction, or control adjustments.</t>
  </si>
  <si>
    <t>• Review the re-ID scoring methodology for completeness, appropriate inputs, and alignment with privacy risk principles. Validate that scoring evaluates training data, synthetic data (if used), transformation processes, and model outputs. Inspect a sample of re-ID tests to ensure correct execution and evaluate whether elevated scores triggered mitigation actions.• Inspect privacy leakage event logs to confirm completeness, categorization, severity tagging, and linkage to remediation. Validate that leakage detection mechanisms (automated scans, red-team tests, adversarial queries, prompt probes) exist, are regularly executed, and cover all relevant model types. Run sample output tests to validate controls preventing re-exposure of previously leaked data. Confirm remediation actions were triggered, documented, and closed.• Review model memorization testing methodology and frequency. Validate that probing tests, extraction attempts, nearest-neighbor similarity checks, and adversarial evaluations were conducted. Inspect whether detected memorization events resulted in mitigation or retraining. Execute sample memorization probes to confirm that controls prevent resurfacing of personal data from training datasets.</t>
  </si>
  <si>
    <t>• Re-ID assessment logs and scoring trend dashboards• Scoring methodology documentation• Evidence of triggered remediation steps for elevated risk scores• Privacy leakage event logs and categorization records• Red-team testing reports• Automated leakage scan outputs• Root-cause analysis and remediation documentation• Memorization test logs• Probing/extraction test reports• Similarity analysis results and nearest-neighbor mappings• Remediation, retraining, and dataset-correction records</t>
  </si>
  <si>
    <t>PIA/DPIA Completion Rate, Model Change Privacy Review Rate, Drift Monitoring Frequency</t>
  </si>
  <si>
    <t>The organization shall track and maintain oversight of lifecycle-related privacy KPIs, including completion of PIA/DPIA assessments for all AI systems, ensuring assessments are conducted before collection, preparation, training, deployment, or significant updates. The organization shall also track privacy review rates for model changes, requiring that all material updates—including retraining, feature changes, dataset modifications, and algorithmic adjustments—undergo documented privacy impact review and approval before implementation. Additionally, the organization shall regularly monitor AI systems for privacy drift, defined as changes in model behavior, outputs, or data distributions that may introduce new privacy risks such as re-identification, leakage, or unintended inference. Drift monitoring schedules, thresholds, alerts, and remediation steps must be documented, consistently executed, and reviewed for completeness.</t>
  </si>
  <si>
    <t>• Review the PIA/DPIA inventory to validate that all in-scope AI systems have completed and current assessments. Check whether assessments were performed before deployment or major system updates. Inspect a representative sample of assessments to confirm inclusion of privacy risk analysis, mitigation steps, and sign-off by required governance functions.• Review model change logs to confirm privacy review coverage for all model updates. Inspect approval workflows to ensure required stakeholders (privacy, legal, governance, ML engineering) reviewed and approved changes prior to deployment. Verify that changes impacting data inputs, outputs, or model logic triggered mandatory privacy reviews.• Inspect drift monitoring frameworks, dashboards, and logs to confirm monitoring frequency aligns with risk levels. Validate that drift detection covers privacy-impacting changes such as attribute inference behavior, leakage signals, or emerging re-identification risk. Confirm alerts triggered remediation and that follow-up actions were documented and closed.</t>
  </si>
  <si>
    <t>• PIA/DPIA inventory list and completed assessment packages• Approval records and workflow logs for model change reviews• Model update logs with privacy review annotations• Drift monitoring logs, dashboards, and reports• Records of triggered drift alerts and remediation steps</t>
  </si>
  <si>
    <t>DSAR Fulfillment Time, Explainability Requests, Consent Accuracy</t>
  </si>
  <si>
    <t>The organization shall track and maintain transparency-related KPIs across AI systems, including DSAR fulfillment time, completion of explainability requests, and accuracy of consent mapping. The organization shall ensure DSARs (access, deletion, correction, objection, opt-out) involving AI data or AI-generated outputs are processed within legally mandated timelines and in accordance with privacy workflow requirements. Explainability request processes must allow individuals, regulators, or internal stakeholders to obtain clear, meaningful explanations of AI model logic, inputs, and outputs where applicable; these requests must be logged, tracked, and completed within defined timelines. The organization shall also maintain accurate consent mapping for all datasets used in AI systems, ensuring that data processing activities align with the individual’s consent status, legal basis, withdrawal actions, and purpose limitations. Any mismatch between consent status and AI data usage must trigger remediation.</t>
  </si>
  <si>
    <t>• Review DSAR workflow documentation, SLAs, and process ownership to validate that AI-related DSARs follow required timelines and escalation procedures. Inspect a representative sample of DSAR cases involving AI inputs or outputs to confirm correct routing, validation, and response steps. Verify that dependency systems (model outputs, derived data, logs) are included in DSAR data retrieval procedures.• Examine explainability request logs to confirm proper intake, triage, assignment, and completion. Validate that explainability documentation provides meaningful insight into data sources, model behavior, decision logic, and risk mitigations. Check whether delays or escalations were recorded and resolved. Confirm that explainability mechanisms align with applicable regulatory requirements (e.g., GDPR Art. 22, AI-related transparency duties).• Validate consent-mapping accuracy by reviewing how consent is captured, stored, propagated to AI pipelines, and enforced during data processing. Inspect linkage mechanisms between raw data, training datasets, feature stores, and model outputs to confirm consent states are consistently applied. Run sample checks on datasets used in training or inference to verify they reflect correct consent status and that withdrawn or restricted data is excluded.</t>
  </si>
  <si>
    <t>• DSAR logs, fulfillment metrics, workflow SLAs, and case files• Explainability request logs, generated explanations, and approval records• Consent logs, consent-mapping documentation, linkage validation reports, and data lineage evidence showing correct enforcement of consent in AI pipelines</t>
  </si>
  <si>
    <t>Vendor Privacy Compliance &amp; Unauthorized Training Events</t>
  </si>
  <si>
    <t>Track vendor privacy KPI. Log unauthorized vendor training.</t>
  </si>
  <si>
    <t>• Review vendor privacy assessments, vendor KPIs, and risk tiering results to confirm whether vendors meet required AI privacy, data protection, and contractual obligations. Validate that vendor compliance metrics include adherence to DPAs, training restrictions, data-handling rules, and AI-specific contractual controls. • Inspect third-party monitoring reports and confirm whether issues such as non-compliance, delayed remediation, or violations of privacy commitments were raised and addressed. • Check incident reports for unauthorized vendor training events, including improper use of customer data for model training, fine-tuning, or evaluation. Verify that all such events were logged, investigated, and remediated. • Evaluate escalation workflows to confirm that vendor misuse (e.g., shadow training, undisclosed subprocessors, storage of training data in unapproved locations) is detected and reported. • Review whether ongoing vendor oversight mechanisms (quarterly reviews, scorecards, audits) accurately track compliance trends and trigger corrective actions when performance drops below threshold.</t>
  </si>
  <si>
    <t>• Vendor scorecards showing privacy KPI performance • Vendor risk assessments and periodic review reports • Third-party audit summaries and compliance dashboards • Training breach logs documenting any unauthorized vendor model-training incidents • Incident investigation reports, root-cause analysis, and remediation evidence • DPA compliance status and contractual obligation tracking records</t>
  </si>
  <si>
    <t>Incident Response Time &amp; Emerging Privacy Risk Alerts</t>
  </si>
  <si>
    <t>Measure response time for privacy incidents. Track new AI privacy risks.</t>
  </si>
  <si>
    <t>• Review incident response workflows to ensure privacy incidents—including leakage, re-identification events, unauthorized model behavior, or vendor misuse—are captured, triaged, escalated, and resolved within defined response timelines. • Validate that the organization measures actual response times against internal SLAs and AI-specific thresholds (e.g., detection-to-containment time, containment-to-notification time). • Inspect incident records to determine whether root-cause analysis, remediation, and follow-up actions were completed. • Review monitoring systems, dashboards, and automated alerting tools used to identify emerging AI privacy risks (e.g., model drift generating sensitive attributes, new inference risks, anomalous model outputs). • Verify that new risk alerts are logged, categorized, reviewed by privacy/AI governance teams, and that risk owners are assigned for investigation. • Evaluate whether alerts triggered updates to controls, model retraining, additional monitoring, or risk acceptance decisions.</t>
  </si>
  <si>
    <t>• Incident logs &amp; response timeline reports • Workflow records showing triage and escalation actions • Root-cause and remediation documentation • Monitoring system alert logs for AI privacy risks • Risk register updates tied to new alerts • AI model drift dashboards showing privacy-related triggers • Governance review notes confirming risk evaluation and closure</t>
  </si>
  <si>
    <t>• Review the end-to-end reporting process for AI privacy KPIs, including how KPI data is aggregated, validated, and formatted for management reporting. • Confirm that reporting occurs on a defined schedule (e.g., monthly, quarterly) and that timelines are consistently met. • Inspect reporting workflows to verify that responsible owners review and approve KPI results before presentation. • Assess whether KPI dashboards or reports include all required domains—Re-ID, Leakage, Data Governance, Lifecycle Controls, Transparency, Third-Party, Incident Response. • Validate that reports highlight trends, anomalies, threshold breaches, and required remediation actions. • Confirm that reports are circulated to senior stakeholders (e.g., privacy governance board, AI oversight committee, legal leadership) and that follow-up actions are documented. • Check that historical reports are retained and version-controlled to demonstrate continuity and traceability of KPI monitoring.</t>
  </si>
  <si>
    <t>• KPI summary reports • Reporting schedules &amp; calendars • Approval emails or workflow records showing management sign-off • KPI dashboards showing trend analysis • Governance meeting minutes where KPIs were reviewed • Evidence of follow-up actions from prior KPI reviews</t>
  </si>
  <si>
    <t>• Review all data sources feeding AI systems (training, fine-tuning, inference logs, derived datasets) to confirm legality and compliance with privacy frameworks. • Validate that the method of data collection aligns with stated purpose, transparency notices, and user expectations. • Confirm a valid lawful basis exists for each dataset (consent, contract, legitimate interests, statutory basis). • Check whether sensitive, biometric, or behavioral data triggers enhanced collection requirements. • Review whether undocumented or shadow data collection paths exist. • Assess whether minimization principles were applied during collection and whether unnecessary or high-risk attributes were excluded. • Verify that data subjects were informed where required and that collection practices do not introduce bias or unintended privacy exposure.</t>
  </si>
  <si>
    <t>• Collection logs and data source inventories • Lawful basis assessments and mapping • Consent or notice records • Data ingestion documentation (ETL flows, pipelines) • Risk assessments identifying collection-related gaps • Evidence of minimization reviews</t>
  </si>
  <si>
    <t>• Review all dataset preparation steps—including labeling, annotation, feature engineering, normalization, augmentation, vectorization, embedding creation, masking, pseudonymization, and de-identification. • Assess whether any transformation step introduces new privacy exposure, inferable attributes, or leakage risk. • Validate that de-identification processes include documented methods (e.g., k-anonymity, noise injection, suppression, tokenization) and that risk of re-identification has been evaluated. • Confirm labeling processes prevent annotators from accessing unnecessary personal or sensitive data. • Check that transformation pipelines follow minimization principles and remove unnecessary identifiers or quasi-identifiers. • Ensure no undocumented preprocessing scripts exist and that data lineage reflects all transformation steps.</t>
  </si>
  <si>
    <t>• Inspect dataset preparation workflows, preprocessing scripts, and transformation pipelines for completeness and accuracy. • Validate logs showing execution of de-identification, masking, or pseudonymization steps. • Review labeling instructions and annotation access controls to ensure annotators do not see unnecessary personal data. • Examine de-identification assessments for evidence of residual re-ID risk evaluation. • Confirm that derived features or embeddings do not allow reconstruction or inference of personal data. • Verify that all preparation steps are documented and approved by data governance or privacy teams.</t>
  </si>
  <si>
    <t>Identify risks in training that cause memorization or unintended learning of personal or sensitive data.</t>
  </si>
  <si>
    <t>• Review all model training controls to ensure personal or inferable data is not memorized, reproduced, or unintentionally learned by the model. • Confirm that training datasets undergo privacy review, quality checks, and minimization before use. • Validate that defenses such as regularization, differential privacy, noise injection, or batching strategies are applied if required. • Ensure training workflows include checks for unintended learning, such as leakage of sensitive attributes, identity inference, or verbatim reproduction. • Verify thresholds and criteria for acceptable memorization risk are defined and documented. • Confirm retraining, fine-tuning, and reinforcement learning workflows include privacy guardrails and do not introduce new exposure risks.</t>
  </si>
  <si>
    <t>• Inspect training logs and review model training pipelines for indicators of memorization or overfitting. • Review memorization test results, extraction attempts, nearest-neighbor similarity analysis, and adversarial probing designed to detect resurfacing of personal data. • Validate that privacy checks were executed at training gates before model promotion. • Examine training hyperparameters (e.g., dropout, gradient clipping, DP settings) to ensure privacy-preserving methods were enabled when applicable. • Confirm remediation actions were taken when memorization signals appeared (e.g., dataset correction, retraining, applying stronger privacy techniques).</t>
  </si>
  <si>
    <t>Identify risks where AI model outputs may directly or indirectly reveal personal data, sensitive attributes, or enable inference attacks. Organizations shall evaluate all outputs—including text, images, embeddings, scores, and API responses—to detect privacy leakage, unintended re-identification, sensitive attribute inference, dataset reconstruction, or exposure of memorized content. Controls must prevent unauthorized inference pathways, enforce guardrails, and ensure continuous monitoring of output risks. Leakage thresholds must be defined, tested, and remediated when exceeded.</t>
  </si>
  <si>
    <t>• Execute output leakage tests including adversarial prompts, extraction attempts, attribute inference probes, membership inference tests, and similarity-based reconstruction attempts. • Inspect guardrail filters, redaction layers, and output sanitization rules to verify they block personal or sensitive data leakage. • Review monitoring dashboards to confirm alerts are generated when suspicious outputs occur. • Validate that inference pipelines capture logs needed for audit and investigation. • Confirm remediation steps (e.g., tightening filters, retraining, dataset correction) occur when leakage is detected.</t>
  </si>
  <si>
    <t>• Output logs showing inference patterns • Red-team and adversarial test reports • Leakage detection results (membership inference, attribute inference, reconstruction tests) • Guardrail and policy enforcement logs • Monitoring dashboards and alert records • Evidence of remediation actions when leakage occurred</t>
  </si>
  <si>
    <t>Profiling &amp; Automated Decision-Making (ADM) Risk</t>
  </si>
  <si>
    <t>Identify risks where AI-driven profiling or automated decision-making (ADM) impacts individuals. The organization shall assess how personal or inferable attributes contribute to profiling outputs, eligibility decisions, risk scoring, prioritization, or automated classification. ADM workflows must document decision logic, safeguards, privacy controls, human oversight, and user rights such as explanation, contestability, and opt-out mechanisms. Profiling activities must align with legal restrictions and be monitored to detect bias, unfair treatment, or unintended consequences.</t>
  </si>
  <si>
    <t>• Review profiling workflows to determine how personal data influences decisions. • Inspect decision trees, scoring models, or logic to confirm transparency and compliance with legal requirements (e.g., GDPR Art. 22-like safeguards). • Validate that ADM outputs include risk checks for discriminatory or unintended impacts. • Evaluate human-in-the-loop controls and override mechanisms. • Confirm documentation of user rights such as notification, explanation, or contest processes. • Test sample profiling outputs for accuracy, fairness, and privacy leakage risks.</t>
  </si>
  <si>
    <t>• Profiling logs showing inputs, outputs, and decision factors • ADM governance documentation (decision logic, safeguards, overrides) • User notification and explanation templates • Risk assessments for ADM processes • Bias/fairness evaluation reports • Evidence of human-review checkpoints and override logs</t>
  </si>
  <si>
    <t>Identify risks in storing and retaining AI datasets. The organization shall define and apply retention periods for AI training, validation, and inference datasets; ensure secure storage of personal and sensitive data; enforce access controls; maintain deletion, archival, and minimization procedures; and confirm that storage locations comply with legal, regulatory, and contractual obligations. Retention must reflect purpose limitation, data minimization, and deletion-on-expiry requirements.</t>
  </si>
  <si>
    <t>• Review documented retention schedules for AI datasets, including training data, model artifacts, logs, and derived datasets. • Inspect storage architecture to confirm secure storage (encryption, access control, zoning). • Validate retention policy alignment with legal requirements (e.g., GDPR data minimization, sector rules). • Test deletion workflows by sampling records scheduled for deletion and confirming they were securely removed. • Review archival processes and verify restricted access to archived data. • Examine monitoring mechanisms for unauthorized data retention or unapproved storage locations.</t>
  </si>
  <si>
    <t>• Storage system logs • Retention schedules • Deletion and archival records • Access control logs • Encryption and storage configuration records • Data minimization assessments • Evidence of secure wipe procedures</t>
  </si>
  <si>
    <t>Identify privacy risks from vendors or external AI services. The organization shall assess third-party providers involved in AI data processing; maintain current Data Processing Agreements (DPAs); ensure suppliers apply adequate privacy, security, and ethical AI controls; verify data sharing, transfer, and access arrangements; conduct periodic vendor risk assessments; and monitor ongoing supplier compliance.</t>
  </si>
  <si>
    <t>• Review third-party risk assessment records for AI-related vendors, including SaaS, external APIs, cloud providers, labeling vendors, or model-hosting services. • Check that DPAs include privacy protections, data handling obligations, retention limits, cross-border transfer clauses, and AI-specific requirements. • Evaluate supplier onboarding workflows, including due-diligence scoring and approval gates. • Inspect monitoring processes for ongoing supplier compliance (e.g., annual reassessments, security questionnaires, SOC reports). • Verify escalation steps for suppliers failing privacy requirements. • Confirm that high-risk vendors receive enhanced oversight or remediation plans.</t>
  </si>
  <si>
    <t>• Supplier audit reports • Vendor risk assessment records • DPAs and contract clauses • Due-diligence questionnaires • SOC 2/SOC 3 reports • Ongoing monitoring logs • Supplier remediation or exception approvals</t>
  </si>
  <si>
    <t>• Review the organization's drift monitoring framework to confirm continuous tracking of model performance, data distribution changes, and behavioral deviations. • Inspect drift detection methods (statistical drift tests, distribution comparisons, concept drift detectors, operational telemetry, trigger thresholds). • Verify monitoring frequency, automated alert workflows, and documented response steps. • Check sample drift alerts to ensure they were routed, analyzed, and closed. • Confirm retraining, recalibration, or model rollback actions where drift thresholds were exceeded. • Validate that operational risks (e.g., degraded accuracy, harmful outputs, fairness shifts) are assessed and tied to remediation.</t>
  </si>
  <si>
    <t>• Drift detection reports • Monitoring dashboards/logs • Alert tickets and investigation notes • Retraining or model-update records • Operational risk assessments • Post-drift remediation documentation</t>
  </si>
  <si>
    <t>• Review the incident management workflow to confirm processes for detecting, triaging, investigating, and documenting AI-related privacy harms. • Inspect incident intake channels (automated alerts, monitoring tools, internal reporting mechanisms) to verify that AI-specific risks are captured. • Validate classification of incidents (privacy harm, data misuse, unexpected model behavior, harmful outputs). • Examine a sample of incidents to confirm proper investigation steps, severity assessment, containment actions, and closure. • Check whether incidents triggered corrective actions, model updates, policy changes, user notifications, or retraining. • Verify risk assessments tied to incidents and whether recurring patterns were analyzed and mitigated.</t>
  </si>
  <si>
    <t>• Incident logs • Root-cause analysis reports • Harm assessment documents • Corrective action and remediation records • AI risk assessment updates • Lessons-learned summaries</t>
  </si>
  <si>
    <t>• Review DSAR handling processes to confirm intake, verification, response workflows, timelines, escalation paths, and communication steps. • Inspect logs for DSAR requests linked to AI systems, checking for completeness, timely closure, and appropriate disclosure of AI-related processing. • Validate consent collection, tracking, withdrawal, and enforcement mechanisms, especially where AI uses personal data for training, inference, or profiling. • Examine transparency notices to confirm clarity of AI processing, data sources, intended use, automated decision-making, and user rights. • Cross-check whether rights requests (access, deletion, objection, restriction) trigger updates to AI models, datasets, or retention processes. • Assess whether recurring rights issues lead to improvements, such as updating notices, improving consent flows, or modifying model behaviors.</t>
  </si>
  <si>
    <t>• DSAR logs and response records • Consent records and withdrawal logs • Transparency notices and privacy policy excerpts referencing AI • Change-control documentation tied to rights requests • Communication templates for DSAR responses • Evidence of updates made due to DSAR trends</t>
  </si>
  <si>
    <t>• Review the AI governance structure to confirm defined roles for privacy, risk, legal, security, engineering, compliance, AI ethics, and model owners. • Verify that responsibilities include oversight across the AI lifecycle—data collection, training, deployment, monitoring, incident management, and rights handling. • Check whether a RACI or similar accountability framework is documented and communicated. • Interview role owners to ensure they understand duties, reporting lines, escalation responsibilities, and authority levels. • Confirm governance forums or committees exist, meet regularly, and review AI privacy risks, KPIs, incidents, and approvals. • Validate that governance responsibilities are updated when new AI systems, policies, or regulations are introduced.</t>
  </si>
  <si>
    <t>• AI Governance Policy • RACI matrix for AI privacy • Organizational chart reflecting reporting lines • Committee/working group charters • Meeting minutes or oversight reviews • Role assignment or designation records</t>
  </si>
  <si>
    <t>• Review the organization’s AI privacy risk register to confirm that AI-specific risks are separately captured, not blended into general enterprise risks. • Check that risks include the full lifecycle (collection, preparation, training, inference, deployment, monitoring). • Confirm each risk entry contains likelihood, impact, risk owner, mitigation plan, and review cadence. • Validate that risks related to re-identification, leakage, model memorization, consent failures, transparency gaps, ADM risks, third-party exposure, and drift are included where applicable. • Check that treatment plans are assigned, tracked, and updated after mitigation is completed. • Verify that periodic risk register reviews are documented, and that new AI systems trigger updates to the register.</t>
  </si>
  <si>
    <t>• AI privacy risk register • Risk treatment plans • Risk review meeting minutes • Version history showing updates • Assigned risk owners and mitigation tracking</t>
  </si>
  <si>
    <t>• Review the organization's regulatory mapping to confirm global and local privacy laws relevant to AI systems (e.g., GDPR, CCPA, LGPD, PDPA, APPI, HIPAA, sector-specific rules) are explicitly included. • Verify that each AI dataset, data flow, and processing activity is mapped to the correct legal obligations, including lawful basis, processing limitations, retention rules, transparency, ADM requirements, and special category protections. • Check that the mapping covers all lifecycle stages (collection → training → inference → outputs → storage → sharing). • Confirm the regulatory mapping is reviewed periodically—especially after new AI use cases, new jurisdictions, or legislative updates. • Validate that DPIAs/PIAs incorporate regulatory references from the mapping. • Ensure that regulatory gaps identified in mapping have assigned mitigation actions.</t>
  </si>
  <si>
    <t>• Regulatory mapping matrix • AI system inventory with linked legal requirements • Lawful basis mapping • DPIA/PIA records • Jurisdictional applicability analysis • Version history of regulatory updates • Internal memos or compliance guidance documenting new regulatory interpretations</t>
  </si>
  <si>
    <t>• Review each dataset used by AI systems to confirm the lawful basis (e.g., consent, contract, legitimate interest, legal obligation, vital interest, public task) has been explicitly assigned and justified. • Confirm that lawful basis selection aligns with the type of data (personal, sensitive/special category, pseudonymized, derived, or inferable data). • Validate that consent—if used—is freely given, explicit where required, specific to AI processing, and traceable to data subjects. • Check that legitimate interest assessments (LIAs) and balancing tests are completed where applicable. • Verify that lawful basis documentation covers all lifecycle stages (collection → preparation → training → inference → outputs → retention). • Ensure updates occur when AI models change their purpose, inputs, or processing methods.</t>
  </si>
  <si>
    <t>• Lawful basis documentation per dataset • Consent records, logs, and version history • Legitimate interest assessments (LIAs) • Contractual purpose statements • DPIA/PIA references to lawful basis • Data inventory showing basis-to-dataset mapping • Records of lawful basis updates after model or data changes</t>
  </si>
  <si>
    <t>Personal data used for AI must only be processed for clearly defined, documented, and approved purposes. The purpose must be specific, explicit, legitimate, and aligned with the organization’s AI governance framework. Any dataset used for AI must have a mapped purpose statement describing why the data is needed, how it will be used, whether it supports model training, inference, evaluation, or monitoring, and what limitations apply. The organization must ensure no repurposing or secondary use occurs unless formally reviewed and approved through governance (privacy, legal, AI governance). Purpose statements must be updated when AI models or datasets change, and must be embedded into dataset inventories, data flow diagrams, and model documentation to demonstrate compliance with purpose limitation obligations.</t>
  </si>
  <si>
    <t>• Validate dataset-to-purpose mapping for each dataset feeding into the AI system. • Inspect whether stated purposes match actual AI processing activities (training, testing, inference, monitoring). • Review governance workflows to confirm repurposing or secondary use requires formal approval. • Check model development documents, data specifications, data access logs, and feature engineering notes to ensure no undeclared or unauthorized use of personal data. • Confirm that purpose statements are specific, documented, and approved by appropriate governance functions (privacy, legal, data governance). • Verify periodic review and updates when AI system functionality, data sources, or processing purposes change.</t>
  </si>
  <si>
    <t>• Purpose limitation statements per dataset • AI model cards or design docs showing purpose alignment • Data inventory showing dataset-to-purpose mapping • Approval logs for secondary use requests or purpose changes • Data flow diagrams reflecting defined purposes • Governance approval emails or workflow records</t>
  </si>
  <si>
    <t>AI systems shall collect, use, and process only the minimum amount of personal data necessary to achieve the defined and approved AI purpose. Minimization must be applied during data collection, preprocessing, feature engineering, and model training to ensure excess or irrelevant personal data is eliminated or transformed. Preprocessing workflows must include steps such as field removal, masking, aggregation, truncation, or pseudonymization to reduce identifiability risks. The organization must document all minimization decisions, justify why remaining personal data is required, and ensure no supplemental personal data is used unless approved and mapped to the AI purpose. Minimization must also be periodically reviewed during model updates, drift investigations, and retraining cycles to confirm that only essential data remains in use.</t>
  </si>
  <si>
    <t>• Inspect preprocessing workflows to identify explicit minimization steps (e.g., dropping unnecessary fields, applying hashing/pseudonymization, aggregating sensitive attributes). • Validate that minimization is aligned with the approved AI purpose and lawful basis and that no additional personal data is processed beyond what is required. • Review feature engineering scripts to confirm removal or masking of sensitive attributes not needed for model performance. • Evaluate change management records to ensure new data fields require justification and approval before inclusion. • Perform sample testing of datasets to verify that minimization controls were applied before training and that raw sensitive data is not retained in intermediate pipelines. • Confirm periodic minimization reviews occur during retraining or model updates.</t>
  </si>
  <si>
    <t>• Data preprocessing documentation • Minimization logs showing removed or masked fields • Feature engineering scripts with minimization steps • Dataset field inventories with justification for retained personal data • Approval logs for adding or modifying data fields • Pre-training snapshots of anonymized or minimized datasets • Evidence of periodic minimization review during model lifecycle</t>
  </si>
  <si>
    <t>Organizations shall apply de-identification, pseudonymization, or other privacy-preserving transformations to personal data before its use in AI workflows whenever technically feasible and compatible with AI performance requirements. De-identification processes must remove or transform direct identifiers (e.g., name, email, phone number) and reduce linkability and inference risk for indirect identifiers (e.g., ZIP code, date of birth, device identifiers). All de-identification techniques must be documented, including parameters used (e.g., k-anonymity thresholds, hashing methods, tokenization rules). Residual re-identification risk must be evaluated through formal testing, such as adversarial re-identification attempts, linkage analysis, or risk scoring. De-identified datasets must be periodically reassessed, especially during model retraining, integration of new data sources, or changes to external datasets that could increase linkage risk. Reversibility must be strictly controlled: pseudonymization keys must be securely stored, access-restricted, and managed through formal governance.</t>
  </si>
  <si>
    <t>• Inspect de-identification workflows (scripts, automated pipelines, transformation steps) to validate that direct and indirect identifiers are appropriately removed or transformed. • Evaluate whether de-identification aligns with the defined AI purpose and does not allow unnecessary identifiability. • Review risk assessments for residual re-identification potential, including tests against external datasets or known risk models. • Execute sampling tests: attempt simple re-identification, linkage, or attribute inference on de-identified datasets to confirm effectiveness. • Confirm that pseudonymization keys, if used, are securely stored, access-controlled, and logged. • Check change history to verify periodic reassessment of de-identification as models evolve.</t>
  </si>
  <si>
    <t>• De-identification logs or transformation reports • Pseudonymization key management records • De-ID methodology documentation (e.g., k-anonymity, hashing, tokenization) • Residual risk assessment reports (re-identification testing results) • De-identified dataset samples before/after transformation • Access control logs for de-identification tools and pseudonymization keys • Evidence of periodic reassessment during model lifecycle</t>
  </si>
  <si>
    <t>The organization shall proactively assess, monitor, and mitigate risks that personal data could be re-identified from AI datasets, feature vectors, embeddings, intermediate representations, or generated model outputs. A formal re-identification risk management process must exist and include periodic scoring of re-ID likelihood using quantitative or qualitative models. Processes must analyze risks across all lifecycle stages, including training data, fine-tuning datasets, prompt logs, inference outputs, and stored embeddings that may encode identifiable information. Controls must detect linkability, attribute inference, memorization, or reconstruction risks. Thresholds for acceptable re-ID risk must be defined, and remediation (e.g., additional de-identification, noise injection, model retraining, or dataset removal) must be triggered when thresholds are exceeded. The organization must also assess external re-ID vectors—such as combining model outputs with publicly available datasets—and evaluate whether outputs may inadvertently reveal identity attributes, even when direct identifiers are absent. Re-ID risk management must be continuous, documented, and aligned with regulatory expectations for personal data protection.</t>
  </si>
  <si>
    <t>• Review the methodology used to evaluate re-identification risk, ensuring it covers datasets, embeddings, and inference outputs. • Inspect logs and reports from re-identification testing, including adversarial linkage tests, attribute inference tests, or reconstruction attempts. • Validate testing coverage across different model stages (training, fine-tuning, inference). • Execute sample tests (e.g., run controlled prompts or embedding comparisons) to verify whether models can unintentionally reproduce or link back to identifiable data. • Confirm that when elevated re-ID risk is detected, remediation steps (e.g., dataset sanitization, model retraining, differential privacy techniques) were executed and documented. • Check that re-ID assessments occur at defined intervals and after significant model or dataset changes.</t>
  </si>
  <si>
    <t>• Re-identification test logs • Re-ID scoring models or methodology documents • Embedding analysis reports • Attribute inference test results • Reconstruction/memorization test outputs • Risk registers showing re-ID findings • Remediation records (e.g., retraining logs, dataset corrections) • Version history showing periodic reassessment</t>
  </si>
  <si>
    <t>The organization shall ensure that AI system outputs do not expose, reproduce, infer, or reconstruct personal data. Controls must prevent unintended disclosure through hallucination, memorization, attribute inference, or verbatim reproduction of training data. Output privacy safeguards must address both structured outputs (e.g., labels, scores, model decisions) and unstructured outputs (e.g., text, images, embeddings). The organization shall implement systematic output leakage testing using red-team prompts, adversarial queries, reconstruction attempts, and comparison tests to identify whether outputs reveal identifiers, sensitive attributes, or data traces. Alerts, thresholds, and automated monitoring must detect anomalous output behaviors. Output restrictions (e.g., filtering, sanitization, truncation, policy-based response rules) must be applied when high-risk outputs are detected. The organization must document procedures for reviewing, approving, and updating output controls, and ensure periodic re-testing after model updates, dataset changes, or deployment modifications.</t>
  </si>
  <si>
    <t>• Review output-leakage testing methodology and verify that testing covers attribute inference, memorization, verbatim reproduction, and linkage attacks. • Inspect samples of adversarial prompts and red-team evaluations to confirm coverage across different model behaviors and use cases. • Execute sample prompt tests to check whether the model returns sensitive information or data resembling training content. • Validate that monitoring mechanisms exist to flag abnormal or high-risk outputs (e.g., sensitive attribute prediction, persona reconstruction). • Confirm that findings from leakage testing triggered corrective actions such as model tuning, filtering adjustments, or output restrictions. • Verify periodic retesting aligned with model updates, new datasets, or new output modalities.</t>
  </si>
  <si>
    <t>• Output evaluation logs • Red-team leakage test reports • Attribute inference test results • Memorization leakage evidence • Automated output-monitoring alerts • Records of remediation actions • Output-filtering configurations or rulesets • Version history showing periodic reassessment</t>
  </si>
  <si>
    <t>The organization shall identify, assess, and mitigate the risk that an AI system could infer, predict, or reconstruct sensitive or unintended personal attributes about individuals. This includes inference of protected characteristics (e.g., race, religion, health status), behavioral traits, location patterns, or identity attributes not intentionally supplied to the model. Controls shall prevent the AI system from producing outputs that enable attribute inference either directly (explicit prediction) or indirectly (correlation-based conclusions, leakage through embeddings, or chaining of outputs). The organization shall implement testing methods—such as probing models with adversarial prompts, training inversion attempts, attribute-inference attack simulations, and statistical correlation analysis—to detect inference vulnerabilities. Where risks are identified, mitigation actions (e.g., data sanitization, model retraining, feature suppression, response suppression, or differential privacy techniques) must be applied and documented. Regular re-testing must be performed after model updates, new data ingestion, or changes in deployment conditions.</t>
  </si>
  <si>
    <t>• Review methodology for attribute-inference testing to confirm it evaluates direct inference, indirect inference, and correlation-based risks. • Inspect adversarial prompts and probing strategies used to identify whether the model reveals or predicts unintended sensitive attributes. • Perform sample tests to observe whether outputs allow deduction of personal traits beyond the provided inputs. • Verify the use of statistical or correlation analysis to identify whether embeddings or model outputs encode sensitive traits. • Assess whether mitigation actions (e.g., feature removal, output filtering, retraining) were implemented where inference risks were found. • Confirm re-testing procedures are tied to model version changes, dataset modifications, or deployment context changes.</t>
  </si>
  <si>
    <t>• Inference risk test logs • Attribute-inference assessment reports • Model probing and adversarial testing outputs • Correlation or regression analysis results • Records of mitigation actions and model adjustments • Versioned re-testing results • Documentation of suppressed features or output filters</t>
  </si>
  <si>
    <t>The organization shall ensure that individuals are provided with clear, accessible, and accurate information regarding how their personal data is used in AI systems. This includes notifying individuals of AI processing activities, explaining the purposes and types of personal data involved, identifying whether automated decision-making or profiling is used, and outlining potential impacts. The organization shall maintain procedures that allow individuals to exercise their privacy rights—such as access, correction, deletion, objection, restriction, and opt-out—specifically in the context of AI-driven processing. AI-specific rights requests must be logged, tracked, and responded to within legally required timelines. Policies shall ensure that individuals are informed whenever their interactions involve AI technologies, especially when outcomes may materially affect them. Transparency notices must be updated whenever model behavior, data purposes, or processing logic materially change.</t>
  </si>
  <si>
    <t>• Review whether transparency notices accurately describe AI data use, automated processing, and intended purposes. • Inspect rights-handling workflows to verify they can process AI-specific DSARs (e.g., access to model outputs, correction of training data, objection to profiling). • Check notification mechanisms informing users when AI is involved in decisions or interactions. • Validate timeliness and completeness of responses to AI-related DSARs. • Confirm that updates to models, datasets, or purposes trigger corresponding updates to transparency documentation.</t>
  </si>
  <si>
    <t>• DSAR logs and rights request tickets • Transparency notices and AI disclosures • Privacy policy revisions related to AI use • Communications or UI notices identifying AI interactions • Evidence of response timelines and completed DSAR actions • Records of updates when AI models or purposes change</t>
  </si>
  <si>
    <t>The organization shall continuously monitor AI systems to detect privacy-related drift, anomalies, or behaviors that indicate potential misuse of personal data. Monitoring must identify shifts in model outputs, data distributions, or patterns that could result in privacy harm. The organization shall also establish a defined incident response process specifically tailored to AI-related privacy events, including thresholds for escalation, containment steps, communication protocols, and post-incident remediation. Roles and responsibilities for responding to AI privacy incidents must be documented, practiced, and integrated into broader security and privacy incident procedures. Monitoring activities and incident handling must be logged, retained, and reviewed regularly to support accountability and improvement.</t>
  </si>
  <si>
    <t>• Review monitoring dashboards, drift detection reports, and alerting rules to confirm coverage of privacy-relevant indicators. • Inspect workflows for AI-specific incident response, including escalation triggers and containment actions. • Trace sample incidents or simulated events to verify correct execution of response steps. • Evaluate whether monitoring outcomes lead to timely mitigation actions. • Confirm integration of AI incidents into the organization’s main incident management system.</t>
  </si>
  <si>
    <t>• Drift monitoring logs and detection alerts • AI privacy incident reports and case files • Escalation workflows and runbooks • Post-incident review documents • Communication logs and corrective action records</t>
  </si>
  <si>
    <t>Maturity (0-5)</t>
  </si>
  <si>
    <t>Weight (3)</t>
  </si>
  <si>
    <t>Weighted Score (G*H)</t>
  </si>
  <si>
    <t>Comments/ Assessment Notes</t>
  </si>
  <si>
    <t>Normalized Score (0–100)</t>
  </si>
  <si>
    <t>Score</t>
  </si>
  <si>
    <t>INTRODUCTION &amp; USER GUIDE</t>
  </si>
  <si>
    <t>AI Data Privacy Maturity Assessment Tool</t>
  </si>
  <si>
    <t>BSI Digital Trust</t>
  </si>
  <si>
    <r>
      <t xml:space="preserve">This workbook supports the assessment of an organization’s </t>
    </r>
    <r>
      <rPr>
        <b/>
        <sz val="11"/>
        <color theme="1"/>
        <rFont val="Aptos Narrow"/>
        <family val="2"/>
        <scheme val="minor"/>
      </rPr>
      <t>AI data privacy posture</t>
    </r>
    <r>
      <rPr>
        <sz val="11"/>
        <color theme="1"/>
        <rFont val="Aptos Narrow"/>
        <family val="2"/>
        <scheme val="minor"/>
      </rPr>
      <t xml:space="preserve"> across multiple domains.</t>
    </r>
  </si>
  <si>
    <r>
      <t xml:space="preserve">It is designed for assessors to evaluate privacy controls, assign maturity scores, and automatically generate </t>
    </r>
    <r>
      <rPr>
        <b/>
        <sz val="11"/>
        <color theme="1"/>
        <rFont val="Aptos Narrow"/>
        <family val="2"/>
        <scheme val="minor"/>
      </rPr>
      <t>domain-level results and visual dashboards</t>
    </r>
    <r>
      <rPr>
        <sz val="11"/>
        <color theme="1"/>
        <rFont val="Aptos Narrow"/>
        <family val="2"/>
        <scheme val="minor"/>
      </rPr>
      <t>.</t>
    </r>
  </si>
  <si>
    <t>The tool helps identify how AI systems collect, process, store, infer, and output personal data, and whether privacy risks are being managed appropriately across the AI lifecycle.</t>
  </si>
  <si>
    <t>Use this guide to understand how each sheet functions and how to complete the assessment correctly.</t>
  </si>
  <si>
    <t>Scoring Matrix</t>
  </si>
  <si>
    <t>This sheet is where the full AI privacy assessment is completed.</t>
  </si>
  <si>
    <t>How to Use This Sheet</t>
  </si>
  <si>
    <r>
      <t xml:space="preserve">1. Review each </t>
    </r>
    <r>
      <rPr>
        <b/>
        <sz val="11"/>
        <color theme="1"/>
        <rFont val="Aptos Narrow"/>
        <family val="2"/>
        <scheme val="minor"/>
      </rPr>
      <t>control requirement</t>
    </r>
    <r>
      <rPr>
        <sz val="11"/>
        <color theme="1"/>
        <rFont val="Aptos Narrow"/>
        <family val="2"/>
        <scheme val="minor"/>
      </rPr>
      <t xml:space="preserve"> row-by-row.</t>
    </r>
  </si>
  <si>
    <r>
      <t xml:space="preserve">2. Use the </t>
    </r>
    <r>
      <rPr>
        <b/>
        <sz val="11"/>
        <color theme="1"/>
        <rFont val="Aptos Narrow"/>
        <family val="2"/>
        <scheme val="minor"/>
      </rPr>
      <t>Test Procedure</t>
    </r>
    <r>
      <rPr>
        <sz val="11"/>
        <color theme="1"/>
        <rFont val="Aptos Narrow"/>
        <family val="2"/>
        <scheme val="minor"/>
      </rPr>
      <t xml:space="preserve"> column to guide your evaluation.</t>
    </r>
  </si>
  <si>
    <r>
      <t xml:space="preserve">3. Review and verify the </t>
    </r>
    <r>
      <rPr>
        <b/>
        <sz val="11"/>
        <color theme="1"/>
        <rFont val="Aptos Narrow"/>
        <family val="2"/>
        <scheme val="minor"/>
      </rPr>
      <t>required Evidence</t>
    </r>
    <r>
      <rPr>
        <sz val="11"/>
        <color theme="1"/>
        <rFont val="Aptos Narrow"/>
        <family val="2"/>
        <scheme val="minor"/>
      </rPr>
      <t xml:space="preserve"> listed for each control.</t>
    </r>
  </si>
  <si>
    <r>
      <t xml:space="preserve">4. Select a </t>
    </r>
    <r>
      <rPr>
        <b/>
        <sz val="11"/>
        <color theme="1"/>
        <rFont val="Aptos Narrow"/>
        <family val="2"/>
        <scheme val="minor"/>
      </rPr>
      <t>Maturity Score (0–5)</t>
    </r>
    <r>
      <rPr>
        <sz val="11"/>
        <color theme="1"/>
        <rFont val="Aptos Narrow"/>
        <family val="2"/>
        <scheme val="minor"/>
      </rPr>
      <t xml:space="preserve"> from the dropdown in Column G.</t>
    </r>
  </si>
  <si>
    <r>
      <t xml:space="preserve">5. The tool automatically calculates the </t>
    </r>
    <r>
      <rPr>
        <b/>
        <sz val="11"/>
        <color theme="1"/>
        <rFont val="Aptos Narrow"/>
        <family val="2"/>
        <scheme val="minor"/>
      </rPr>
      <t>Weighted Score</t>
    </r>
    <r>
      <rPr>
        <sz val="11"/>
        <color theme="1"/>
        <rFont val="Aptos Narrow"/>
        <family val="2"/>
        <scheme val="minor"/>
      </rPr>
      <t xml:space="preserve"> in Column I.</t>
    </r>
  </si>
  <si>
    <r>
      <t xml:space="preserve">6. Enter assessment notes and observations in the </t>
    </r>
    <r>
      <rPr>
        <b/>
        <sz val="11"/>
        <color theme="1"/>
        <rFont val="Aptos Narrow"/>
        <family val="2"/>
        <scheme val="minor"/>
      </rPr>
      <t>Comments</t>
    </r>
    <r>
      <rPr>
        <sz val="11"/>
        <color theme="1"/>
        <rFont val="Aptos Narrow"/>
        <family val="2"/>
        <scheme val="minor"/>
      </rPr>
      <t xml:space="preserve"> column.</t>
    </r>
  </si>
  <si>
    <t>Important</t>
  </si>
  <si>
    <r>
      <t xml:space="preserve">Every control must have a </t>
    </r>
    <r>
      <rPr>
        <b/>
        <sz val="11"/>
        <color theme="1"/>
        <rFont val="Aptos Narrow"/>
        <family val="2"/>
        <scheme val="minor"/>
      </rPr>
      <t>Domain assignment</t>
    </r>
    <r>
      <rPr>
        <sz val="11"/>
        <color theme="1"/>
        <rFont val="Aptos Narrow"/>
        <family val="2"/>
        <scheme val="minor"/>
      </rPr>
      <t xml:space="preserve"> in Column A for accurate domain scoring.</t>
    </r>
  </si>
  <si>
    <r>
      <t>Weight is set to 3</t>
    </r>
    <r>
      <rPr>
        <sz val="11"/>
        <color theme="1"/>
        <rFont val="Aptos Narrow"/>
        <family val="2"/>
        <scheme val="minor"/>
      </rPr>
      <t xml:space="preserve"> for all controls.</t>
    </r>
  </si>
  <si>
    <r>
      <t xml:space="preserve">Do </t>
    </r>
    <r>
      <rPr>
        <b/>
        <sz val="11"/>
        <color theme="1"/>
        <rFont val="Aptos Narrow"/>
        <family val="2"/>
        <scheme val="minor"/>
      </rPr>
      <t>not modify</t>
    </r>
    <r>
      <rPr>
        <sz val="11"/>
        <color theme="1"/>
        <rFont val="Aptos Narrow"/>
        <family val="2"/>
        <scheme val="minor"/>
      </rPr>
      <t xml:space="preserve"> formulas in the Weighted Score column.</t>
    </r>
  </si>
  <si>
    <t>Domain Summary</t>
  </si>
  <si>
    <r>
      <t xml:space="preserve">This sheet calculates maturity for each </t>
    </r>
    <r>
      <rPr>
        <b/>
        <sz val="11"/>
        <color theme="1"/>
        <rFont val="Aptos Narrow"/>
        <family val="2"/>
        <scheme val="minor"/>
      </rPr>
      <t>AI privacy domain</t>
    </r>
    <r>
      <rPr>
        <sz val="11"/>
        <color theme="1"/>
        <rFont val="Aptos Narrow"/>
        <family val="2"/>
        <scheme val="minor"/>
      </rPr>
      <t>, including scope definition, data processing, boundaries, regulatory context, lifecycle controls, KPI domains, core risk themes, and governance categories.</t>
    </r>
  </si>
  <si>
    <t>How It Works</t>
  </si>
  <si>
    <t>Each domain’s score is calculated from all controls linked to that domain.</t>
  </si>
  <si>
    <r>
      <t xml:space="preserve">Scores are normalized into a </t>
    </r>
    <r>
      <rPr>
        <b/>
        <sz val="11"/>
        <color theme="1"/>
        <rFont val="Aptos Narrow"/>
        <family val="2"/>
        <scheme val="minor"/>
      </rPr>
      <t>0–100% maturity value</t>
    </r>
    <r>
      <rPr>
        <sz val="11"/>
        <color theme="1"/>
        <rFont val="Aptos Narrow"/>
        <family val="2"/>
        <scheme val="minor"/>
      </rPr>
      <t>.</t>
    </r>
  </si>
  <si>
    <t>Conditional formatting highlights domain-level privacy risk:</t>
  </si>
  <si>
    <t>0–20% = Critical Risk (Red)</t>
  </si>
  <si>
    <t>21–40% = High Risk (Orange)</t>
  </si>
  <si>
    <t>41–60% = Moderate Risk (Yellow)</t>
  </si>
  <si>
    <t>61–80% = Low Risk (Light Green)</t>
  </si>
  <si>
    <t>81–100% = Minimal Risk (Green)</t>
  </si>
  <si>
    <t>Purpose of Domain Scores</t>
  </si>
  <si>
    <t>Identify high-risk privacy areas.</t>
  </si>
  <si>
    <t>Prioritize remediation steps.</t>
  </si>
  <si>
    <t>Provide a clear overview of overall AI privacy posture.</t>
  </si>
  <si>
    <t>Feed the Radar Chart dataset.</t>
  </si>
  <si>
    <t>Radar Data</t>
  </si>
  <si>
    <t>This sheet stores the inputs used to generate the radar (spider) chart.</t>
  </si>
  <si>
    <t>Each domain has a corresponding maturity percentage.</t>
  </si>
  <si>
    <t>The radar chart references Columns A and B.</t>
  </si>
  <si>
    <t>When maturity scores update in the Scoring Matrix, this dataset automatically updates.</t>
  </si>
  <si>
    <t>Purpose</t>
  </si>
  <si>
    <t>Provides a quick visual summary of privacy strengths and weaknesses.</t>
  </si>
  <si>
    <t>Helps clients understand their AI privacy maturity at a glance.</t>
  </si>
  <si>
    <t>Supports reporting and discussion with leadership.</t>
  </si>
  <si>
    <t>Radar Chart</t>
  </si>
  <si>
    <r>
      <t xml:space="preserve">This sheet contains the visual </t>
    </r>
    <r>
      <rPr>
        <b/>
        <sz val="11"/>
        <color theme="1"/>
        <rFont val="Aptos Narrow"/>
        <family val="2"/>
        <scheme val="minor"/>
      </rPr>
      <t>AI Privacy Radar Chart</t>
    </r>
    <r>
      <rPr>
        <sz val="11"/>
        <color theme="1"/>
        <rFont val="Aptos Narrow"/>
        <family val="2"/>
        <scheme val="minor"/>
      </rPr>
      <t>.</t>
    </r>
  </si>
  <si>
    <t>How to Use</t>
  </si>
  <si>
    <t>No data entry is required.</t>
  </si>
  <si>
    <t>The chart updates automatically when:</t>
  </si>
  <si>
    <t>Maturity scores change</t>
  </si>
  <si>
    <t>Domain Summary recalculates</t>
  </si>
  <si>
    <t>Presents the AI privacy maturity profile in a single visual snapshot.</t>
  </si>
  <si>
    <t>Supports decision-making and prioritization of privacy improvements.</t>
  </si>
  <si>
    <t>Assessment Workflow (Step-by-Step)</t>
  </si>
  <si>
    <t>1. Start in the Scoring Matrix</t>
  </si>
  <si>
    <t>Complete the assessment row-by-row and assign maturity scores.</t>
  </si>
  <si>
    <t>2. Domain Summary Updates Automatically</t>
  </si>
  <si>
    <t>Domain percentages and risk colors recalculated.</t>
  </si>
  <si>
    <t>3. Radar Data Refreshes Automatically</t>
  </si>
  <si>
    <t>Domain values populate radar axes.</t>
  </si>
  <si>
    <t>4. Radar Chart Updates Automatically</t>
  </si>
  <si>
    <t>Visual maturity profile generated instantly.</t>
  </si>
  <si>
    <t>5. Review, Validate, Export</t>
  </si>
  <si>
    <t>Identify high-risk domains, add recommendations, and prepare the final assessment output.</t>
  </si>
  <si>
    <t>Protected Fields &amp; Cautions</t>
  </si>
  <si>
    <t>Do not overwrite formulas in Column I, Domain Summary, or Radar Data sheets.</t>
  </si>
  <si>
    <t>Add new controls only by copying existing rows to maintain formula integrity.</t>
  </si>
  <si>
    <t>Weight values should remain set to 3 unless the model design is changed.</t>
  </si>
  <si>
    <t>Maturity Model</t>
  </si>
  <si>
    <t>Scoring Formula</t>
  </si>
  <si>
    <t>Maturity Level</t>
  </si>
  <si>
    <t>Name</t>
  </si>
  <si>
    <t>Description (Assessor Guidance)</t>
  </si>
  <si>
    <t>Weighted Score = Maturity × 3</t>
  </si>
  <si>
    <t>Not Implemented</t>
  </si>
  <si>
    <t>No control exists. No evidence of planning, documentation, implementation, or responsibility. High-risk and unmanaged.</t>
  </si>
  <si>
    <t>Where:</t>
  </si>
  <si>
    <r>
      <t>Maturity</t>
    </r>
    <r>
      <rPr>
        <sz val="11"/>
        <color theme="1"/>
        <rFont val="Aptos Narrow"/>
        <family val="2"/>
        <scheme val="minor"/>
      </rPr>
      <t xml:space="preserve"> is from </t>
    </r>
    <r>
      <rPr>
        <b/>
        <sz val="11"/>
        <color theme="1"/>
        <rFont val="Aptos Narrow"/>
        <family val="2"/>
        <scheme val="minor"/>
      </rPr>
      <t>0 to 5</t>
    </r>
  </si>
  <si>
    <t>Initial / Ad Hoc</t>
  </si>
  <si>
    <t>Control is informally in place but inconsistent, undocumented, or reactive. Highly dependent on individuals, not processes. No measurable effectiveness.</t>
  </si>
  <si>
    <r>
      <t>3</t>
    </r>
    <r>
      <rPr>
        <sz val="11"/>
        <color theme="1"/>
        <rFont val="Aptos Narrow"/>
        <family val="2"/>
        <scheme val="minor"/>
      </rPr>
      <t xml:space="preserve"> is the fixed weight you selected </t>
    </r>
  </si>
  <si>
    <t>Developing / Partially Implemented</t>
  </si>
  <si>
    <t>Control has been partially implemented. Some documentation exists, but implementation is inconsistent or incomplete. Monitoring or review is minimal.</t>
  </si>
  <si>
    <r>
      <t xml:space="preserve">Maximum score per control = </t>
    </r>
    <r>
      <rPr>
        <b/>
        <sz val="11"/>
        <color theme="1"/>
        <rFont val="Aptos Narrow"/>
        <family val="2"/>
        <scheme val="minor"/>
      </rPr>
      <t>15</t>
    </r>
  </si>
  <si>
    <t>Defined / Implemented</t>
  </si>
  <si>
    <t>Control is documented, consistently applied, and supported by assigned roles. Procedures exist and are followed. Some monitoring or periodic reviews occur.</t>
  </si>
  <si>
    <t>Managed &amp; Measured</t>
  </si>
  <si>
    <t>Control is monitored, measured, and evaluated for effectiveness. Metrics, logs, testing, or validation activities demonstrate consistent operation. Improvements are driven by results.</t>
  </si>
  <si>
    <t>Optimized / Continuous Improvement</t>
  </si>
  <si>
    <t>Control is fully mature, automated where appropriate, and integrated into AI risk management. Continuous improvement processes exist. Considered best-in-class and risk-driven.</t>
  </si>
  <si>
    <t>DOMAIN SCORE → RISK LEVEL → COLOR CODE</t>
  </si>
  <si>
    <t>Domain Score %</t>
  </si>
  <si>
    <t>Risk Level</t>
  </si>
  <si>
    <t>Color</t>
  </si>
  <si>
    <t>Color Coding</t>
  </si>
  <si>
    <t>0% – 20%</t>
  </si>
  <si>
    <t>Very Low</t>
  </si>
  <si>
    <t>Critical Risk</t>
  </si>
  <si>
    <t>Red</t>
  </si>
  <si>
    <t>Score Range</t>
  </si>
  <si>
    <t>Meaning</t>
  </si>
  <si>
    <t>21% – 40%</t>
  </si>
  <si>
    <t>Low</t>
  </si>
  <si>
    <t>High Risk</t>
  </si>
  <si>
    <t>Orange</t>
  </si>
  <si>
    <t>0–1</t>
  </si>
  <si>
    <t>41% – 60%</t>
  </si>
  <si>
    <t>Medium</t>
  </si>
  <si>
    <t>Moderate Risk</t>
  </si>
  <si>
    <t>Yellow</t>
  </si>
  <si>
    <t>Medium Risk</t>
  </si>
  <si>
    <t>61% – 80%</t>
  </si>
  <si>
    <t>High</t>
  </si>
  <si>
    <t>Low Risk</t>
  </si>
  <si>
    <t>Light Green</t>
  </si>
  <si>
    <t>Defined</t>
  </si>
  <si>
    <t>81% – 100%</t>
  </si>
  <si>
    <t>Very High</t>
  </si>
  <si>
    <t>Minimal Risk</t>
  </si>
  <si>
    <t>Dark Green</t>
  </si>
  <si>
    <t>Good</t>
  </si>
  <si>
    <t>Best Practice</t>
  </si>
  <si>
    <t>Abbreviation</t>
  </si>
  <si>
    <t>ADM</t>
  </si>
  <si>
    <t>Automated Decision-Making</t>
  </si>
  <si>
    <t>AI</t>
  </si>
  <si>
    <t>Artificial Intelligence</t>
  </si>
  <si>
    <t>DPA</t>
  </si>
  <si>
    <t>Data Processing Agreement</t>
  </si>
  <si>
    <t>DPIA</t>
  </si>
  <si>
    <t>Data Protection Impact Assessment</t>
  </si>
  <si>
    <t>DSAR</t>
  </si>
  <si>
    <t>Data Subject Access Request</t>
  </si>
  <si>
    <t>De-ID</t>
  </si>
  <si>
    <t>ID</t>
  </si>
  <si>
    <t>Identification</t>
  </si>
  <si>
    <t>Re-ID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</si>
</sst>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1" fillId="0" borderId="0" xfId="0" applyFont="1" applyAlignment="1">
      <alignment horizontal="left" vertical="center" wrapText="1"/>
    </xf>
    <xf numFmtId="0" fontId="0" fillId="0" borderId="0" xfId="0" applyAlignment="1">
      <alignment horizontal="left"/>
    </xf>
    <xf numFmtId="0" fontId="1" fillId="0" borderId="0" xfId="0" applyFont="1"/>
    <xf numFmtId="0" fontId="4" fillId="0" borderId="0" xfId="0" applyFont="1" applyAlignment="1">
      <alignment vertical="center"/>
    </xf>
    <xf numFmtId="0" fontId="0" fillId="0" borderId="0" xfId="0" applyAlignment="1">
      <alignment horizontal="left" vertical="center" indent="2"/>
    </xf>
    <xf numFmtId="0" fontId="1" fillId="0" borderId="2" xfId="0" applyFont="1" applyBorder="1"/>
    <xf numFmtId="0" fontId="0" fillId="0" borderId="2" xfId="0" applyBorder="1"/>
    <xf numFmtId="0" fontId="1" fillId="0" borderId="2" xfId="0" applyFont="1" applyBorder="1" applyAlignment="1">
      <alignment horizontal="center" vertical="center" wrapText="1"/>
    </xf>
    <xf numFmtId="0" fontId="4" fillId="0" borderId="2" xfId="0" applyFont="1" applyBorder="1" applyAlignment="1">
      <alignment vertical="center"/>
    </xf>
    <xf numFmtId="0" fontId="1" fillId="0" borderId="2" xfId="0" applyFont="1" applyBorder="1" applyAlignment="1">
      <alignment vertical="center" wrapText="1"/>
    </xf>
    <xf numFmtId="0" fontId="0" fillId="0" borderId="2" xfId="0" applyBorder="1" applyAlignment="1">
      <alignment vertical="center" wrapText="1"/>
    </xf>
    <xf numFmtId="0" fontId="1" fillId="0" borderId="2" xfId="0" applyFont="1" applyBorder="1" applyAlignment="1">
      <alignment horizontal="left" vertical="center" indent="1"/>
    </xf>
    <xf numFmtId="0" fontId="0" fillId="0" borderId="2" xfId="0" applyBorder="1" applyAlignment="1">
      <alignment horizontal="left" vertical="center" indent="1"/>
    </xf>
    <xf numFmtId="0" fontId="1" fillId="0" borderId="1" xfId="0" applyFont="1" applyBorder="1" applyAlignment="1">
      <alignment horizontal="center"/>
    </xf>
    <xf numFmtId="0" fontId="1" fillId="0" borderId="2" xfId="0" applyFont="1" applyBorder="1" applyAlignment="1">
      <alignment horizontal="center"/>
    </xf>
  </cellXfs>
  <cellStyles count="1">
    <cellStyle name="Normal" xfId="0" builtinId="0"/>
  </cellStyles>
  <dxfs count="15">
    <dxf>
      <fill>
        <patternFill>
          <bgColor rgb="FF00B050"/>
        </patternFill>
      </fill>
    </dxf>
    <dxf>
      <fill>
        <patternFill>
          <bgColor rgb="FF92D050"/>
        </patternFill>
      </fill>
    </dxf>
    <dxf>
      <fill>
        <patternFill>
          <bgColor rgb="FFFFFF00"/>
        </patternFill>
      </fill>
    </dxf>
    <dxf>
      <fill>
        <patternFill>
          <bgColor rgb="FFED7D31"/>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ED7D31"/>
        </patternFill>
      </fill>
    </dxf>
    <dxf>
      <fill>
        <patternFill>
          <bgColor rgb="FFFF000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'Radar Data'!$B$1</c:f>
              <c:strCache>
                <c:ptCount val="1"/>
                <c:pt idx="0">
                  <c:v>Score</c:v>
                </c:pt>
              </c:strCache>
            </c:strRef>
          </c:tx>
          <c:spPr>
            <a:solidFill>
              <a:schemeClr val="accent1"/>
            </a:solidFill>
            <a:ln>
              <a:noFill/>
            </a:ln>
            <a:effectLst/>
          </c:spPr>
          <c:cat>
            <c:strRef>
              <c:f>'Radar Data'!$A$2:$A$24</c:f>
              <c:strCache>
                <c:ptCount val="23"/>
                <c:pt idx="0">
                  <c:v>Scope Definition</c:v>
                </c:pt>
                <c:pt idx="1">
                  <c:v>Data Processing</c:v>
                </c:pt>
                <c:pt idx="2">
                  <c:v>Boundaries</c:v>
                </c:pt>
                <c:pt idx="3">
                  <c:v>Regulatory Context</c:v>
                </c:pt>
                <c:pt idx="4">
                  <c:v>Lifecycle</c:v>
                </c:pt>
                <c:pt idx="5">
                  <c:v>Scope Exclusions</c:v>
                </c:pt>
                <c:pt idx="6">
                  <c:v>KPI Domain: Re-ID &amp; Leakage</c:v>
                </c:pt>
                <c:pt idx="7">
                  <c:v>KPI Domain: Data Governance</c:v>
                </c:pt>
                <c:pt idx="8">
                  <c:v>KPI Domain: Lifecycle Controls</c:v>
                </c:pt>
                <c:pt idx="9">
                  <c:v>KPI Domain: Transparency</c:v>
                </c:pt>
                <c:pt idx="10">
                  <c:v>KPI Domain: Third-Party</c:v>
                </c:pt>
                <c:pt idx="11">
                  <c:v>KPI Domain: Incident Response</c:v>
                </c:pt>
                <c:pt idx="12">
                  <c:v>KPI Domain: Reporting</c:v>
                </c:pt>
                <c:pt idx="13">
                  <c:v>Core Risk Theme</c:v>
                </c:pt>
                <c:pt idx="14">
                  <c:v>Governance</c:v>
                </c:pt>
                <c:pt idx="15">
                  <c:v>Lawful Basis</c:v>
                </c:pt>
                <c:pt idx="16">
                  <c:v>Data Minimization</c:v>
                </c:pt>
                <c:pt idx="17">
                  <c:v>De-Identification</c:v>
                </c:pt>
                <c:pt idx="18">
                  <c:v>Re-Identification</c:v>
                </c:pt>
                <c:pt idx="19">
                  <c:v>Output Privacy</c:v>
                </c:pt>
                <c:pt idx="20">
                  <c:v>Inference Risk</c:v>
                </c:pt>
                <c:pt idx="21">
                  <c:v>Transparency</c:v>
                </c:pt>
                <c:pt idx="22">
                  <c:v>Monitoring</c:v>
                </c:pt>
              </c:strCache>
            </c:strRef>
          </c:cat>
          <c:val>
            <c:numRef>
              <c:f>'Radar Data'!$B$2:$B$24</c:f>
              <c:numCache>
                <c:formatCode>General</c:formatCode>
                <c:ptCount val="23"/>
                <c:pt idx="0">
                  <c:v>55.000000000000007</c:v>
                </c:pt>
                <c:pt idx="1">
                  <c:v>60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40</c:v>
                </c:pt>
                <c:pt idx="18">
                  <c:v>20</c:v>
                </c:pt>
                <c:pt idx="19">
                  <c:v>0</c:v>
                </c:pt>
                <c:pt idx="20">
                  <c:v>0</c:v>
                </c:pt>
                <c:pt idx="21">
                  <c:v>60</c:v>
                </c:pt>
                <c:pt idx="22">
                  <c:v>100</c:v>
                </c:pt>
              </c:numCache>
            </c:numRef>
          </c:val>
          <c:extLst>
            <c:ext xmlns:c16="http://schemas.microsoft.com/office/drawing/2014/chart" uri="{C3380CC4-5D6E-409C-BE32-E72D297353CC}">
              <c16:uniqueId val="{00000000-D87C-4CA6-8392-33E14AE75116}"/>
            </c:ext>
          </c:extLst>
        </c:ser>
        <c:dLbls>
          <c:showLegendKey val="0"/>
          <c:showVal val="0"/>
          <c:showCatName val="0"/>
          <c:showSerName val="0"/>
          <c:showPercent val="0"/>
          <c:showBubbleSize val="0"/>
        </c:dLbls>
        <c:axId val="1118894176"/>
        <c:axId val="1118895136"/>
      </c:radarChart>
      <c:catAx>
        <c:axId val="111889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5136"/>
        <c:crosses val="autoZero"/>
        <c:auto val="1"/>
        <c:lblAlgn val="ctr"/>
        <c:lblOffset val="100"/>
        <c:noMultiLvlLbl val="0"/>
      </c:catAx>
      <c:valAx>
        <c:axId val="111889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9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276224</xdr:colOff>
      <xdr:row>1</xdr:row>
      <xdr:rowOff>107950</xdr:rowOff>
    </xdr:from>
    <xdr:to>
      <xdr:col>21</xdr:col>
      <xdr:colOff>260350</xdr:colOff>
      <xdr:row>34</xdr:row>
      <xdr:rowOff>44450</xdr:rowOff>
    </xdr:to>
    <xdr:graphicFrame macro="">
      <xdr:nvGraphicFramePr>
        <xdr:cNvPr id="2" name="Chart 1">
          <a:extLst>
            <a:ext uri="{FF2B5EF4-FFF2-40B4-BE49-F238E27FC236}">
              <a16:creationId xmlns:a16="http://schemas.microsoft.com/office/drawing/2014/main" id="{1A0234AF-A48D-3E1B-69D2-168362728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5F08-99A8-4BF5-B2AB-CA46DD279EC9}">
  <dimension ref="A3:A150"/>
  <sheetViews>
    <sheetView topLeftCell="A137" workbookViewId="0">
      <selection activeCell="A153" sqref="A153:XFD161"/>
    </sheetView>
  </sheetViews>
  <sheetFormatPr defaultRowHeight="14.5" x14ac:dyDescent="0.35"/>
  <sheetData>
    <row r="3" spans="1:1" ht="31" x14ac:dyDescent="0.35">
      <c r="A3" s="3" t="s">
        <v>203</v>
      </c>
    </row>
    <row r="5" spans="1:1" ht="23.5" x14ac:dyDescent="0.35">
      <c r="A5" s="7" t="s">
        <v>204</v>
      </c>
    </row>
    <row r="7" spans="1:1" ht="17.5" x14ac:dyDescent="0.35">
      <c r="A7" s="11" t="s">
        <v>205</v>
      </c>
    </row>
    <row r="9" spans="1:1" x14ac:dyDescent="0.35">
      <c r="A9" t="s">
        <v>206</v>
      </c>
    </row>
    <row r="10" spans="1:1" x14ac:dyDescent="0.35">
      <c r="A10" t="s">
        <v>207</v>
      </c>
    </row>
    <row r="12" spans="1:1" x14ac:dyDescent="0.35">
      <c r="A12" t="s">
        <v>208</v>
      </c>
    </row>
    <row r="14" spans="1:1" x14ac:dyDescent="0.35">
      <c r="A14" t="s">
        <v>209</v>
      </c>
    </row>
    <row r="16" spans="1:1" ht="31" x14ac:dyDescent="0.35">
      <c r="A16" s="3" t="s">
        <v>210</v>
      </c>
    </row>
    <row r="18" spans="1:1" x14ac:dyDescent="0.35">
      <c r="A18" t="s">
        <v>211</v>
      </c>
    </row>
    <row r="20" spans="1:1" ht="17.5" x14ac:dyDescent="0.35">
      <c r="A20" s="11" t="s">
        <v>212</v>
      </c>
    </row>
    <row r="21" spans="1:1" x14ac:dyDescent="0.35">
      <c r="A21" s="1"/>
    </row>
    <row r="22" spans="1:1" x14ac:dyDescent="0.35">
      <c r="A22" s="1" t="s">
        <v>213</v>
      </c>
    </row>
    <row r="23" spans="1:1" x14ac:dyDescent="0.35">
      <c r="A23" s="1"/>
    </row>
    <row r="24" spans="1:1" x14ac:dyDescent="0.35">
      <c r="A24" s="1" t="s">
        <v>214</v>
      </c>
    </row>
    <row r="25" spans="1:1" x14ac:dyDescent="0.35">
      <c r="A25" s="1"/>
    </row>
    <row r="26" spans="1:1" x14ac:dyDescent="0.35">
      <c r="A26" s="1" t="s">
        <v>215</v>
      </c>
    </row>
    <row r="27" spans="1:1" x14ac:dyDescent="0.35">
      <c r="A27" s="1"/>
    </row>
    <row r="28" spans="1:1" x14ac:dyDescent="0.35">
      <c r="A28" s="1" t="s">
        <v>216</v>
      </c>
    </row>
    <row r="29" spans="1:1" x14ac:dyDescent="0.35">
      <c r="A29" s="1"/>
    </row>
    <row r="30" spans="1:1" x14ac:dyDescent="0.35">
      <c r="A30" s="1" t="s">
        <v>217</v>
      </c>
    </row>
    <row r="31" spans="1:1" x14ac:dyDescent="0.35">
      <c r="A31" s="1"/>
    </row>
    <row r="32" spans="1:1" x14ac:dyDescent="0.35">
      <c r="A32" s="1" t="s">
        <v>218</v>
      </c>
    </row>
    <row r="34" spans="1:1" ht="17.5" x14ac:dyDescent="0.35">
      <c r="A34" s="11" t="s">
        <v>219</v>
      </c>
    </row>
    <row r="35" spans="1:1" x14ac:dyDescent="0.35">
      <c r="A35" s="1"/>
    </row>
    <row r="36" spans="1:1" x14ac:dyDescent="0.35">
      <c r="A36" s="1" t="s">
        <v>220</v>
      </c>
    </row>
    <row r="37" spans="1:1" x14ac:dyDescent="0.35">
      <c r="A37" s="1"/>
    </row>
    <row r="38" spans="1:1" x14ac:dyDescent="0.35">
      <c r="A38" s="2" t="s">
        <v>221</v>
      </c>
    </row>
    <row r="39" spans="1:1" x14ac:dyDescent="0.35">
      <c r="A39" s="1"/>
    </row>
    <row r="40" spans="1:1" x14ac:dyDescent="0.35">
      <c r="A40" s="1" t="s">
        <v>222</v>
      </c>
    </row>
    <row r="44" spans="1:1" ht="31" x14ac:dyDescent="0.35">
      <c r="A44" s="3" t="s">
        <v>223</v>
      </c>
    </row>
    <row r="46" spans="1:1" x14ac:dyDescent="0.35">
      <c r="A46" t="s">
        <v>224</v>
      </c>
    </row>
    <row r="48" spans="1:1" ht="17.5" x14ac:dyDescent="0.35">
      <c r="A48" s="11" t="s">
        <v>225</v>
      </c>
    </row>
    <row r="49" spans="1:1" x14ac:dyDescent="0.35">
      <c r="A49" s="1"/>
    </row>
    <row r="50" spans="1:1" x14ac:dyDescent="0.35">
      <c r="A50" s="1" t="s">
        <v>226</v>
      </c>
    </row>
    <row r="51" spans="1:1" x14ac:dyDescent="0.35">
      <c r="A51" s="1"/>
    </row>
    <row r="52" spans="1:1" x14ac:dyDescent="0.35">
      <c r="A52" s="1" t="s">
        <v>227</v>
      </c>
    </row>
    <row r="53" spans="1:1" x14ac:dyDescent="0.35">
      <c r="A53" s="1"/>
    </row>
    <row r="54" spans="1:1" x14ac:dyDescent="0.35">
      <c r="A54" s="1" t="s">
        <v>228</v>
      </c>
    </row>
    <row r="56" spans="1:1" x14ac:dyDescent="0.35">
      <c r="A56" t="s">
        <v>229</v>
      </c>
    </row>
    <row r="57" spans="1:1" x14ac:dyDescent="0.35">
      <c r="A57" t="s">
        <v>230</v>
      </c>
    </row>
    <row r="58" spans="1:1" x14ac:dyDescent="0.35">
      <c r="A58" t="s">
        <v>231</v>
      </c>
    </row>
    <row r="59" spans="1:1" x14ac:dyDescent="0.35">
      <c r="A59" t="s">
        <v>232</v>
      </c>
    </row>
    <row r="60" spans="1:1" x14ac:dyDescent="0.35">
      <c r="A60" t="s">
        <v>233</v>
      </c>
    </row>
    <row r="62" spans="1:1" ht="17.5" x14ac:dyDescent="0.35">
      <c r="A62" s="11" t="s">
        <v>234</v>
      </c>
    </row>
    <row r="63" spans="1:1" x14ac:dyDescent="0.35">
      <c r="A63" s="1"/>
    </row>
    <row r="64" spans="1:1" x14ac:dyDescent="0.35">
      <c r="A64" s="1" t="s">
        <v>235</v>
      </c>
    </row>
    <row r="65" spans="1:1" x14ac:dyDescent="0.35">
      <c r="A65" s="1"/>
    </row>
    <row r="66" spans="1:1" x14ac:dyDescent="0.35">
      <c r="A66" s="1" t="s">
        <v>236</v>
      </c>
    </row>
    <row r="67" spans="1:1" x14ac:dyDescent="0.35">
      <c r="A67" s="1"/>
    </row>
    <row r="68" spans="1:1" x14ac:dyDescent="0.35">
      <c r="A68" s="1" t="s">
        <v>237</v>
      </c>
    </row>
    <row r="69" spans="1:1" x14ac:dyDescent="0.35">
      <c r="A69" s="1"/>
    </row>
    <row r="70" spans="1:1" x14ac:dyDescent="0.35">
      <c r="A70" s="1" t="s">
        <v>238</v>
      </c>
    </row>
    <row r="74" spans="1:1" ht="31" x14ac:dyDescent="0.35">
      <c r="A74" s="3" t="s">
        <v>239</v>
      </c>
    </row>
    <row r="76" spans="1:1" x14ac:dyDescent="0.35">
      <c r="A76" t="s">
        <v>240</v>
      </c>
    </row>
    <row r="78" spans="1:1" ht="17.5" x14ac:dyDescent="0.35">
      <c r="A78" s="11" t="s">
        <v>225</v>
      </c>
    </row>
    <row r="79" spans="1:1" x14ac:dyDescent="0.35">
      <c r="A79" s="1"/>
    </row>
    <row r="80" spans="1:1" x14ac:dyDescent="0.35">
      <c r="A80" s="1" t="s">
        <v>241</v>
      </c>
    </row>
    <row r="81" spans="1:1" x14ac:dyDescent="0.35">
      <c r="A81" s="1"/>
    </row>
    <row r="82" spans="1:1" x14ac:dyDescent="0.35">
      <c r="A82" s="1" t="s">
        <v>242</v>
      </c>
    </row>
    <row r="83" spans="1:1" x14ac:dyDescent="0.35">
      <c r="A83" s="1"/>
    </row>
    <row r="84" spans="1:1" x14ac:dyDescent="0.35">
      <c r="A84" s="1" t="s">
        <v>243</v>
      </c>
    </row>
    <row r="86" spans="1:1" ht="17.5" x14ac:dyDescent="0.35">
      <c r="A86" s="11" t="s">
        <v>244</v>
      </c>
    </row>
    <row r="87" spans="1:1" x14ac:dyDescent="0.35">
      <c r="A87" s="1"/>
    </row>
    <row r="88" spans="1:1" x14ac:dyDescent="0.35">
      <c r="A88" s="1" t="s">
        <v>245</v>
      </c>
    </row>
    <row r="89" spans="1:1" x14ac:dyDescent="0.35">
      <c r="A89" s="1"/>
    </row>
    <row r="90" spans="1:1" x14ac:dyDescent="0.35">
      <c r="A90" s="1" t="s">
        <v>246</v>
      </c>
    </row>
    <row r="91" spans="1:1" x14ac:dyDescent="0.35">
      <c r="A91" s="1"/>
    </row>
    <row r="92" spans="1:1" x14ac:dyDescent="0.35">
      <c r="A92" s="1" t="s">
        <v>247</v>
      </c>
    </row>
    <row r="96" spans="1:1" ht="31" x14ac:dyDescent="0.35">
      <c r="A96" s="3" t="s">
        <v>248</v>
      </c>
    </row>
    <row r="98" spans="1:1" x14ac:dyDescent="0.35">
      <c r="A98" t="s">
        <v>249</v>
      </c>
    </row>
    <row r="100" spans="1:1" ht="17.5" x14ac:dyDescent="0.35">
      <c r="A100" s="11" t="s">
        <v>250</v>
      </c>
    </row>
    <row r="101" spans="1:1" x14ac:dyDescent="0.35">
      <c r="A101" s="1"/>
    </row>
    <row r="102" spans="1:1" x14ac:dyDescent="0.35">
      <c r="A102" s="1" t="s">
        <v>251</v>
      </c>
    </row>
    <row r="103" spans="1:1" x14ac:dyDescent="0.35">
      <c r="A103" s="1"/>
    </row>
    <row r="104" spans="1:1" x14ac:dyDescent="0.35">
      <c r="A104" s="1" t="s">
        <v>252</v>
      </c>
    </row>
    <row r="105" spans="1:1" x14ac:dyDescent="0.35">
      <c r="A105" s="1"/>
    </row>
    <row r="106" spans="1:1" x14ac:dyDescent="0.35">
      <c r="A106" s="1"/>
    </row>
    <row r="107" spans="1:1" x14ac:dyDescent="0.35">
      <c r="A107" s="12"/>
    </row>
    <row r="108" spans="1:1" x14ac:dyDescent="0.35">
      <c r="A108" s="12" t="s">
        <v>253</v>
      </c>
    </row>
    <row r="109" spans="1:1" x14ac:dyDescent="0.35">
      <c r="A109" s="12"/>
    </row>
    <row r="110" spans="1:1" x14ac:dyDescent="0.35">
      <c r="A110" s="12" t="s">
        <v>254</v>
      </c>
    </row>
    <row r="112" spans="1:1" ht="17.5" x14ac:dyDescent="0.35">
      <c r="A112" s="11" t="s">
        <v>244</v>
      </c>
    </row>
    <row r="113" spans="1:1" x14ac:dyDescent="0.35">
      <c r="A113" s="1"/>
    </row>
    <row r="114" spans="1:1" x14ac:dyDescent="0.35">
      <c r="A114" s="1" t="s">
        <v>255</v>
      </c>
    </row>
    <row r="115" spans="1:1" x14ac:dyDescent="0.35">
      <c r="A115" s="1"/>
    </row>
    <row r="116" spans="1:1" x14ac:dyDescent="0.35">
      <c r="A116" s="1" t="s">
        <v>256</v>
      </c>
    </row>
    <row r="120" spans="1:1" ht="31" x14ac:dyDescent="0.35">
      <c r="A120" s="3" t="s">
        <v>257</v>
      </c>
    </row>
    <row r="122" spans="1:1" ht="17.5" x14ac:dyDescent="0.35">
      <c r="A122" s="11" t="s">
        <v>258</v>
      </c>
    </row>
    <row r="124" spans="1:1" x14ac:dyDescent="0.35">
      <c r="A124" t="s">
        <v>259</v>
      </c>
    </row>
    <row r="126" spans="1:1" ht="17.5" x14ac:dyDescent="0.35">
      <c r="A126" s="11" t="s">
        <v>260</v>
      </c>
    </row>
    <row r="128" spans="1:1" x14ac:dyDescent="0.35">
      <c r="A128" t="s">
        <v>261</v>
      </c>
    </row>
    <row r="130" spans="1:1" ht="17.5" x14ac:dyDescent="0.35">
      <c r="A130" s="11" t="s">
        <v>262</v>
      </c>
    </row>
    <row r="132" spans="1:1" x14ac:dyDescent="0.35">
      <c r="A132" t="s">
        <v>263</v>
      </c>
    </row>
    <row r="134" spans="1:1" ht="17.5" x14ac:dyDescent="0.35">
      <c r="A134" s="11" t="s">
        <v>264</v>
      </c>
    </row>
    <row r="136" spans="1:1" x14ac:dyDescent="0.35">
      <c r="A136" t="s">
        <v>265</v>
      </c>
    </row>
    <row r="138" spans="1:1" ht="17.5" x14ac:dyDescent="0.35">
      <c r="A138" s="11" t="s">
        <v>266</v>
      </c>
    </row>
    <row r="140" spans="1:1" x14ac:dyDescent="0.35">
      <c r="A140" t="s">
        <v>267</v>
      </c>
    </row>
    <row r="144" spans="1:1" ht="31" x14ac:dyDescent="0.35">
      <c r="A144" s="3" t="s">
        <v>268</v>
      </c>
    </row>
    <row r="145" spans="1:1" x14ac:dyDescent="0.35">
      <c r="A145" s="1"/>
    </row>
    <row r="146" spans="1:1" x14ac:dyDescent="0.35">
      <c r="A146" s="1" t="s">
        <v>269</v>
      </c>
    </row>
    <row r="147" spans="1:1" x14ac:dyDescent="0.35">
      <c r="A147" s="1"/>
    </row>
    <row r="148" spans="1:1" x14ac:dyDescent="0.35">
      <c r="A148" s="1" t="s">
        <v>270</v>
      </c>
    </row>
    <row r="149" spans="1:1" x14ac:dyDescent="0.35">
      <c r="A149" s="1"/>
    </row>
    <row r="150" spans="1:1" x14ac:dyDescent="0.35">
      <c r="A150" s="1"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5B84-AD15-4FCC-9ED7-5B27D19A01E7}">
  <dimension ref="A1:J39"/>
  <sheetViews>
    <sheetView topLeftCell="A33" workbookViewId="0">
      <selection activeCell="G34" sqref="G34"/>
    </sheetView>
  </sheetViews>
  <sheetFormatPr defaultColWidth="27.54296875" defaultRowHeight="14.5" x14ac:dyDescent="0.35"/>
  <cols>
    <col min="1" max="1" width="21.7265625" customWidth="1"/>
    <col min="2" max="2" width="9.26953125" style="9" customWidth="1"/>
    <col min="3" max="3" width="22.26953125" customWidth="1"/>
    <col min="4" max="4" width="52.36328125" customWidth="1"/>
    <col min="5" max="5" width="50.453125" customWidth="1"/>
    <col min="6" max="6" width="32.81640625" customWidth="1"/>
  </cols>
  <sheetData>
    <row r="1" spans="1:10" ht="43.5" x14ac:dyDescent="0.35">
      <c r="A1" s="4" t="s">
        <v>0</v>
      </c>
      <c r="B1" s="8" t="s">
        <v>1</v>
      </c>
      <c r="C1" s="4" t="s">
        <v>2</v>
      </c>
      <c r="D1" s="4" t="s">
        <v>3</v>
      </c>
      <c r="E1" s="4" t="s">
        <v>4</v>
      </c>
      <c r="F1" s="4" t="s">
        <v>5</v>
      </c>
      <c r="G1" s="4" t="s">
        <v>197</v>
      </c>
      <c r="H1" s="4" t="s">
        <v>198</v>
      </c>
      <c r="I1" s="4" t="s">
        <v>199</v>
      </c>
      <c r="J1" s="4" t="s">
        <v>200</v>
      </c>
    </row>
    <row r="2" spans="1:10" ht="188.5" x14ac:dyDescent="0.35">
      <c r="A2" s="5" t="s">
        <v>6</v>
      </c>
      <c r="B2" s="5">
        <v>2.1</v>
      </c>
      <c r="C2" s="5" t="s">
        <v>7</v>
      </c>
      <c r="D2" s="5" t="s">
        <v>8</v>
      </c>
      <c r="E2" s="5" t="s">
        <v>81</v>
      </c>
      <c r="F2" s="5" t="s">
        <v>82</v>
      </c>
      <c r="G2">
        <v>5</v>
      </c>
      <c r="H2">
        <v>3</v>
      </c>
      <c r="I2">
        <f>G2*H2</f>
        <v>15</v>
      </c>
    </row>
    <row r="3" spans="1:10" ht="130.5" x14ac:dyDescent="0.35">
      <c r="A3" s="5" t="s">
        <v>6</v>
      </c>
      <c r="B3" s="6" t="s">
        <v>9</v>
      </c>
      <c r="C3" s="5" t="s">
        <v>10</v>
      </c>
      <c r="D3" s="5" t="s">
        <v>86</v>
      </c>
      <c r="E3" s="5" t="s">
        <v>87</v>
      </c>
      <c r="F3" s="5" t="s">
        <v>88</v>
      </c>
      <c r="G3">
        <v>0</v>
      </c>
      <c r="H3">
        <v>3</v>
      </c>
      <c r="I3">
        <f>G3*H3</f>
        <v>0</v>
      </c>
    </row>
    <row r="4" spans="1:10" ht="130.5" x14ac:dyDescent="0.35">
      <c r="A4" s="5" t="s">
        <v>6</v>
      </c>
      <c r="B4" s="6" t="s">
        <v>11</v>
      </c>
      <c r="C4" s="5" t="s">
        <v>12</v>
      </c>
      <c r="D4" s="5" t="s">
        <v>83</v>
      </c>
      <c r="E4" s="5" t="s">
        <v>84</v>
      </c>
      <c r="F4" s="5" t="s">
        <v>85</v>
      </c>
      <c r="G4">
        <v>5</v>
      </c>
      <c r="H4">
        <v>3</v>
      </c>
      <c r="I4">
        <f t="shared" ref="I4:I39" si="0">G4*H4</f>
        <v>15</v>
      </c>
    </row>
    <row r="5" spans="1:10" ht="145" x14ac:dyDescent="0.35">
      <c r="A5" s="5" t="s">
        <v>6</v>
      </c>
      <c r="B5" s="6" t="s">
        <v>13</v>
      </c>
      <c r="C5" s="5" t="s">
        <v>14</v>
      </c>
      <c r="D5" s="5" t="s">
        <v>89</v>
      </c>
      <c r="E5" s="5" t="s">
        <v>90</v>
      </c>
      <c r="F5" s="5" t="s">
        <v>91</v>
      </c>
      <c r="G5">
        <v>1</v>
      </c>
      <c r="H5">
        <v>3</v>
      </c>
      <c r="I5">
        <f t="shared" si="0"/>
        <v>3</v>
      </c>
    </row>
    <row r="6" spans="1:10" ht="409.5" x14ac:dyDescent="0.35">
      <c r="A6" s="5" t="s">
        <v>15</v>
      </c>
      <c r="B6" s="5">
        <v>2.2000000000000002</v>
      </c>
      <c r="C6" s="5" t="s">
        <v>97</v>
      </c>
      <c r="D6" s="5" t="s">
        <v>98</v>
      </c>
      <c r="E6" s="5" t="s">
        <v>99</v>
      </c>
      <c r="F6" s="5" t="s">
        <v>100</v>
      </c>
      <c r="G6">
        <v>3</v>
      </c>
      <c r="H6">
        <v>3</v>
      </c>
      <c r="I6">
        <f t="shared" si="0"/>
        <v>9</v>
      </c>
    </row>
    <row r="7" spans="1:10" ht="409.5" x14ac:dyDescent="0.35">
      <c r="A7" s="5" t="s">
        <v>16</v>
      </c>
      <c r="B7" s="5">
        <v>2.2999999999999998</v>
      </c>
      <c r="C7" s="5" t="s">
        <v>101</v>
      </c>
      <c r="D7" s="5" t="s">
        <v>102</v>
      </c>
      <c r="E7" s="5" t="s">
        <v>103</v>
      </c>
      <c r="F7" s="5" t="s">
        <v>104</v>
      </c>
      <c r="G7">
        <v>0</v>
      </c>
      <c r="I7">
        <f t="shared" si="0"/>
        <v>0</v>
      </c>
    </row>
    <row r="8" spans="1:10" ht="409.5" x14ac:dyDescent="0.35">
      <c r="A8" s="5" t="s">
        <v>17</v>
      </c>
      <c r="B8" s="5">
        <v>2.4</v>
      </c>
      <c r="C8" s="5" t="s">
        <v>105</v>
      </c>
      <c r="D8" s="5" t="s">
        <v>106</v>
      </c>
      <c r="E8" s="5" t="s">
        <v>107</v>
      </c>
      <c r="F8" s="5" t="s">
        <v>108</v>
      </c>
      <c r="H8">
        <v>3</v>
      </c>
      <c r="I8">
        <f t="shared" si="0"/>
        <v>0</v>
      </c>
    </row>
    <row r="9" spans="1:10" ht="391.5" x14ac:dyDescent="0.35">
      <c r="A9" s="5" t="s">
        <v>18</v>
      </c>
      <c r="B9" s="5">
        <v>2.5</v>
      </c>
      <c r="C9" s="5" t="s">
        <v>109</v>
      </c>
      <c r="D9" s="5" t="s">
        <v>110</v>
      </c>
      <c r="E9" s="5" t="s">
        <v>111</v>
      </c>
      <c r="F9" s="5" t="s">
        <v>112</v>
      </c>
      <c r="H9">
        <v>3</v>
      </c>
      <c r="I9">
        <f t="shared" si="0"/>
        <v>0</v>
      </c>
    </row>
    <row r="10" spans="1:10" ht="275.5" x14ac:dyDescent="0.35">
      <c r="A10" s="5" t="s">
        <v>19</v>
      </c>
      <c r="B10" s="5">
        <v>2.6</v>
      </c>
      <c r="C10" s="5" t="s">
        <v>113</v>
      </c>
      <c r="D10" s="5" t="s">
        <v>114</v>
      </c>
      <c r="E10" s="5" t="s">
        <v>115</v>
      </c>
      <c r="F10" s="5" t="s">
        <v>116</v>
      </c>
      <c r="H10">
        <v>3</v>
      </c>
      <c r="I10">
        <f t="shared" si="0"/>
        <v>0</v>
      </c>
    </row>
    <row r="11" spans="1:10" ht="333.5" x14ac:dyDescent="0.35">
      <c r="A11" s="5" t="s">
        <v>20</v>
      </c>
      <c r="B11" s="5">
        <v>3.1</v>
      </c>
      <c r="C11" s="5" t="s">
        <v>117</v>
      </c>
      <c r="D11" s="5" t="s">
        <v>118</v>
      </c>
      <c r="E11" s="5" t="s">
        <v>119</v>
      </c>
      <c r="F11" s="5" t="s">
        <v>120</v>
      </c>
      <c r="H11">
        <v>3</v>
      </c>
      <c r="I11">
        <f t="shared" si="0"/>
        <v>0</v>
      </c>
    </row>
    <row r="12" spans="1:10" ht="319" x14ac:dyDescent="0.35">
      <c r="A12" s="5" t="s">
        <v>21</v>
      </c>
      <c r="B12" s="5">
        <v>3.2</v>
      </c>
      <c r="C12" s="5" t="s">
        <v>93</v>
      </c>
      <c r="D12" s="5" t="s">
        <v>96</v>
      </c>
      <c r="E12" s="5" t="s">
        <v>94</v>
      </c>
      <c r="F12" s="5" t="s">
        <v>95</v>
      </c>
      <c r="H12">
        <v>3</v>
      </c>
      <c r="I12">
        <f t="shared" si="0"/>
        <v>0</v>
      </c>
    </row>
    <row r="13" spans="1:10" ht="275.5" x14ac:dyDescent="0.35">
      <c r="A13" s="5" t="s">
        <v>22</v>
      </c>
      <c r="B13" s="5">
        <v>3.3</v>
      </c>
      <c r="C13" s="5" t="s">
        <v>121</v>
      </c>
      <c r="D13" s="5" t="s">
        <v>122</v>
      </c>
      <c r="E13" s="5" t="s">
        <v>123</v>
      </c>
      <c r="F13" s="5" t="s">
        <v>124</v>
      </c>
      <c r="H13">
        <v>3</v>
      </c>
      <c r="I13">
        <f t="shared" si="0"/>
        <v>0</v>
      </c>
    </row>
    <row r="14" spans="1:10" ht="333.5" x14ac:dyDescent="0.35">
      <c r="A14" s="5" t="s">
        <v>23</v>
      </c>
      <c r="B14" s="5">
        <v>3.4</v>
      </c>
      <c r="C14" s="5" t="s">
        <v>125</v>
      </c>
      <c r="D14" s="5" t="s">
        <v>126</v>
      </c>
      <c r="E14" s="5" t="s">
        <v>127</v>
      </c>
      <c r="F14" s="5" t="s">
        <v>128</v>
      </c>
      <c r="I14">
        <f t="shared" si="0"/>
        <v>0</v>
      </c>
    </row>
    <row r="15" spans="1:10" ht="290" x14ac:dyDescent="0.35">
      <c r="A15" s="5" t="s">
        <v>24</v>
      </c>
      <c r="B15" s="5">
        <v>3.5</v>
      </c>
      <c r="C15" s="5" t="s">
        <v>129</v>
      </c>
      <c r="D15" s="5" t="s">
        <v>130</v>
      </c>
      <c r="E15" s="5" t="s">
        <v>131</v>
      </c>
      <c r="F15" s="5" t="s">
        <v>132</v>
      </c>
      <c r="H15">
        <v>3</v>
      </c>
      <c r="I15">
        <f t="shared" si="0"/>
        <v>0</v>
      </c>
    </row>
    <row r="16" spans="1:10" ht="261" x14ac:dyDescent="0.35">
      <c r="A16" s="5" t="s">
        <v>25</v>
      </c>
      <c r="B16" s="5">
        <v>3.6</v>
      </c>
      <c r="C16" s="5" t="s">
        <v>133</v>
      </c>
      <c r="D16" s="5" t="s">
        <v>134</v>
      </c>
      <c r="E16" s="5" t="s">
        <v>135</v>
      </c>
      <c r="F16" s="5" t="s">
        <v>136</v>
      </c>
      <c r="H16">
        <v>3</v>
      </c>
      <c r="I16">
        <f t="shared" si="0"/>
        <v>0</v>
      </c>
    </row>
    <row r="17" spans="1:9" ht="246.5" x14ac:dyDescent="0.35">
      <c r="A17" s="5" t="s">
        <v>26</v>
      </c>
      <c r="B17" s="5">
        <v>3.7</v>
      </c>
      <c r="C17" s="5" t="s">
        <v>27</v>
      </c>
      <c r="D17" s="5" t="s">
        <v>28</v>
      </c>
      <c r="E17" s="5" t="s">
        <v>137</v>
      </c>
      <c r="F17" s="5" t="s">
        <v>138</v>
      </c>
      <c r="H17">
        <v>3</v>
      </c>
      <c r="I17">
        <f t="shared" si="0"/>
        <v>0</v>
      </c>
    </row>
    <row r="18" spans="1:9" ht="217.5" x14ac:dyDescent="0.35">
      <c r="A18" s="5" t="s">
        <v>29</v>
      </c>
      <c r="B18" s="5">
        <v>4.0999999999999996</v>
      </c>
      <c r="C18" s="5" t="s">
        <v>30</v>
      </c>
      <c r="D18" s="5" t="s">
        <v>31</v>
      </c>
      <c r="E18" s="5" t="s">
        <v>139</v>
      </c>
      <c r="F18" s="5" t="s">
        <v>140</v>
      </c>
      <c r="H18">
        <v>3</v>
      </c>
      <c r="I18">
        <f t="shared" si="0"/>
        <v>0</v>
      </c>
    </row>
    <row r="19" spans="1:9" ht="275.5" x14ac:dyDescent="0.35">
      <c r="A19" s="5" t="s">
        <v>29</v>
      </c>
      <c r="B19" s="5">
        <v>4.2</v>
      </c>
      <c r="C19" s="5" t="s">
        <v>32</v>
      </c>
      <c r="D19" s="5" t="s">
        <v>33</v>
      </c>
      <c r="E19" s="5" t="s">
        <v>141</v>
      </c>
      <c r="F19" s="5" t="s">
        <v>142</v>
      </c>
      <c r="H19">
        <v>3</v>
      </c>
      <c r="I19">
        <f t="shared" si="0"/>
        <v>0</v>
      </c>
    </row>
    <row r="20" spans="1:9" ht="275.5" x14ac:dyDescent="0.35">
      <c r="A20" s="5" t="s">
        <v>29</v>
      </c>
      <c r="B20" s="5">
        <v>4.3</v>
      </c>
      <c r="C20" s="5" t="s">
        <v>34</v>
      </c>
      <c r="D20" s="5" t="s">
        <v>143</v>
      </c>
      <c r="E20" s="5" t="s">
        <v>144</v>
      </c>
      <c r="F20" s="5" t="s">
        <v>145</v>
      </c>
      <c r="H20">
        <v>3</v>
      </c>
      <c r="I20">
        <f t="shared" si="0"/>
        <v>0</v>
      </c>
    </row>
    <row r="21" spans="1:9" ht="159.5" x14ac:dyDescent="0.35">
      <c r="A21" s="5" t="s">
        <v>29</v>
      </c>
      <c r="B21" s="5">
        <v>4.4000000000000004</v>
      </c>
      <c r="C21" s="5" t="s">
        <v>35</v>
      </c>
      <c r="D21" s="5" t="s">
        <v>146</v>
      </c>
      <c r="E21" s="5" t="s">
        <v>147</v>
      </c>
      <c r="F21" s="5" t="s">
        <v>148</v>
      </c>
      <c r="I21">
        <f t="shared" si="0"/>
        <v>0</v>
      </c>
    </row>
    <row r="22" spans="1:9" ht="145" x14ac:dyDescent="0.35">
      <c r="A22" s="5" t="s">
        <v>29</v>
      </c>
      <c r="B22" s="5">
        <v>4.5</v>
      </c>
      <c r="C22" s="5" t="s">
        <v>149</v>
      </c>
      <c r="D22" s="5" t="s">
        <v>150</v>
      </c>
      <c r="E22" s="5" t="s">
        <v>151</v>
      </c>
      <c r="F22" s="5" t="s">
        <v>152</v>
      </c>
      <c r="H22">
        <v>3</v>
      </c>
      <c r="I22">
        <f t="shared" si="0"/>
        <v>0</v>
      </c>
    </row>
    <row r="23" spans="1:9" ht="159.5" x14ac:dyDescent="0.35">
      <c r="A23" s="5" t="s">
        <v>29</v>
      </c>
      <c r="B23" s="5">
        <v>4.5999999999999996</v>
      </c>
      <c r="C23" s="5" t="s">
        <v>36</v>
      </c>
      <c r="D23" s="5" t="s">
        <v>153</v>
      </c>
      <c r="E23" s="5" t="s">
        <v>154</v>
      </c>
      <c r="F23" s="5" t="s">
        <v>155</v>
      </c>
      <c r="H23">
        <v>3</v>
      </c>
      <c r="I23">
        <f t="shared" si="0"/>
        <v>0</v>
      </c>
    </row>
    <row r="24" spans="1:9" ht="188.5" x14ac:dyDescent="0.35">
      <c r="A24" s="5" t="s">
        <v>29</v>
      </c>
      <c r="B24" s="5">
        <v>4.7</v>
      </c>
      <c r="C24" s="5" t="s">
        <v>37</v>
      </c>
      <c r="D24" s="5" t="s">
        <v>156</v>
      </c>
      <c r="E24" s="5" t="s">
        <v>157</v>
      </c>
      <c r="F24" s="5" t="s">
        <v>158</v>
      </c>
      <c r="H24">
        <v>3</v>
      </c>
      <c r="I24">
        <f t="shared" si="0"/>
        <v>0</v>
      </c>
    </row>
    <row r="25" spans="1:9" ht="174" x14ac:dyDescent="0.35">
      <c r="A25" s="5" t="s">
        <v>29</v>
      </c>
      <c r="B25" s="5">
        <v>4.8</v>
      </c>
      <c r="C25" s="5" t="s">
        <v>38</v>
      </c>
      <c r="D25" s="5" t="s">
        <v>39</v>
      </c>
      <c r="E25" s="5" t="s">
        <v>159</v>
      </c>
      <c r="F25" s="5" t="s">
        <v>160</v>
      </c>
      <c r="H25">
        <v>3</v>
      </c>
      <c r="I25">
        <f t="shared" si="0"/>
        <v>0</v>
      </c>
    </row>
    <row r="26" spans="1:9" ht="203" x14ac:dyDescent="0.35">
      <c r="A26" s="5" t="s">
        <v>29</v>
      </c>
      <c r="B26" s="5">
        <v>4.9000000000000004</v>
      </c>
      <c r="C26" s="5" t="s">
        <v>40</v>
      </c>
      <c r="D26" s="5" t="s">
        <v>41</v>
      </c>
      <c r="E26" s="5" t="s">
        <v>161</v>
      </c>
      <c r="F26" s="5" t="s">
        <v>162</v>
      </c>
      <c r="H26">
        <v>3</v>
      </c>
      <c r="I26">
        <f t="shared" si="0"/>
        <v>0</v>
      </c>
    </row>
    <row r="27" spans="1:9" ht="232" x14ac:dyDescent="0.35">
      <c r="A27" s="5" t="s">
        <v>29</v>
      </c>
      <c r="B27" s="5">
        <v>4.0999999999999996</v>
      </c>
      <c r="C27" s="5" t="s">
        <v>42</v>
      </c>
      <c r="D27" s="5" t="s">
        <v>43</v>
      </c>
      <c r="E27" s="5" t="s">
        <v>163</v>
      </c>
      <c r="F27" s="5" t="s">
        <v>164</v>
      </c>
      <c r="I27">
        <f t="shared" si="0"/>
        <v>0</v>
      </c>
    </row>
    <row r="28" spans="1:9" ht="203" x14ac:dyDescent="0.35">
      <c r="A28" s="5" t="s">
        <v>44</v>
      </c>
      <c r="B28" s="5" t="s">
        <v>45</v>
      </c>
      <c r="C28" s="5" t="s">
        <v>46</v>
      </c>
      <c r="D28" s="5" t="s">
        <v>47</v>
      </c>
      <c r="E28" s="5" t="s">
        <v>165</v>
      </c>
      <c r="F28" s="5" t="s">
        <v>166</v>
      </c>
      <c r="H28">
        <v>3</v>
      </c>
      <c r="I28">
        <f t="shared" si="0"/>
        <v>0</v>
      </c>
    </row>
    <row r="29" spans="1:9" ht="203" x14ac:dyDescent="0.35">
      <c r="A29" s="5" t="s">
        <v>44</v>
      </c>
      <c r="B29" s="5" t="s">
        <v>48</v>
      </c>
      <c r="C29" s="5" t="s">
        <v>49</v>
      </c>
      <c r="D29" s="5" t="s">
        <v>50</v>
      </c>
      <c r="E29" s="5" t="s">
        <v>167</v>
      </c>
      <c r="F29" s="5" t="s">
        <v>168</v>
      </c>
      <c r="H29">
        <v>3</v>
      </c>
      <c r="I29">
        <f t="shared" si="0"/>
        <v>0</v>
      </c>
    </row>
    <row r="30" spans="1:9" ht="217.5" x14ac:dyDescent="0.35">
      <c r="A30" s="5" t="s">
        <v>44</v>
      </c>
      <c r="B30" s="5" t="s">
        <v>51</v>
      </c>
      <c r="C30" s="5" t="s">
        <v>52</v>
      </c>
      <c r="D30" s="5" t="s">
        <v>53</v>
      </c>
      <c r="E30" s="5" t="s">
        <v>169</v>
      </c>
      <c r="F30" s="5" t="s">
        <v>170</v>
      </c>
      <c r="H30">
        <v>3</v>
      </c>
      <c r="I30">
        <f t="shared" si="0"/>
        <v>0</v>
      </c>
    </row>
    <row r="31" spans="1:9" ht="203" x14ac:dyDescent="0.35">
      <c r="A31" s="5" t="s">
        <v>54</v>
      </c>
      <c r="B31" s="5" t="s">
        <v>55</v>
      </c>
      <c r="C31" s="5" t="s">
        <v>56</v>
      </c>
      <c r="D31" s="5" t="s">
        <v>57</v>
      </c>
      <c r="E31" s="5" t="s">
        <v>171</v>
      </c>
      <c r="F31" s="5" t="s">
        <v>172</v>
      </c>
      <c r="H31">
        <v>3</v>
      </c>
      <c r="I31">
        <f t="shared" si="0"/>
        <v>0</v>
      </c>
    </row>
    <row r="32" spans="1:9" ht="203" x14ac:dyDescent="0.35">
      <c r="A32" s="5" t="s">
        <v>54</v>
      </c>
      <c r="B32" s="5" t="s">
        <v>58</v>
      </c>
      <c r="C32" s="5" t="s">
        <v>59</v>
      </c>
      <c r="D32" s="5" t="s">
        <v>173</v>
      </c>
      <c r="E32" s="5" t="s">
        <v>174</v>
      </c>
      <c r="F32" s="5" t="s">
        <v>175</v>
      </c>
      <c r="H32">
        <v>3</v>
      </c>
      <c r="I32">
        <f t="shared" si="0"/>
        <v>0</v>
      </c>
    </row>
    <row r="33" spans="1:9" ht="217.5" x14ac:dyDescent="0.35">
      <c r="A33" s="5" t="s">
        <v>60</v>
      </c>
      <c r="B33" s="5" t="s">
        <v>61</v>
      </c>
      <c r="C33" s="5" t="s">
        <v>62</v>
      </c>
      <c r="D33" s="5" t="s">
        <v>176</v>
      </c>
      <c r="E33" s="5" t="s">
        <v>177</v>
      </c>
      <c r="F33" s="5" t="s">
        <v>178</v>
      </c>
      <c r="I33">
        <f t="shared" si="0"/>
        <v>0</v>
      </c>
    </row>
    <row r="34" spans="1:9" ht="275.5" x14ac:dyDescent="0.35">
      <c r="A34" s="5" t="s">
        <v>63</v>
      </c>
      <c r="B34" s="5" t="s">
        <v>64</v>
      </c>
      <c r="C34" s="5" t="s">
        <v>65</v>
      </c>
      <c r="D34" s="5" t="s">
        <v>179</v>
      </c>
      <c r="E34" s="5" t="s">
        <v>180</v>
      </c>
      <c r="F34" s="5" t="s">
        <v>181</v>
      </c>
      <c r="G34">
        <v>2</v>
      </c>
      <c r="H34">
        <v>3</v>
      </c>
      <c r="I34">
        <f t="shared" si="0"/>
        <v>6</v>
      </c>
    </row>
    <row r="35" spans="1:9" ht="304.5" x14ac:dyDescent="0.35">
      <c r="A35" s="5" t="s">
        <v>66</v>
      </c>
      <c r="B35" s="5" t="s">
        <v>67</v>
      </c>
      <c r="C35" s="5" t="s">
        <v>68</v>
      </c>
      <c r="D35" s="5" t="s">
        <v>182</v>
      </c>
      <c r="E35" s="5" t="s">
        <v>183</v>
      </c>
      <c r="F35" s="5" t="s">
        <v>184</v>
      </c>
      <c r="G35">
        <v>1</v>
      </c>
      <c r="H35">
        <v>3</v>
      </c>
      <c r="I35">
        <f t="shared" si="0"/>
        <v>3</v>
      </c>
    </row>
    <row r="36" spans="1:9" ht="275.5" x14ac:dyDescent="0.35">
      <c r="A36" s="5" t="s">
        <v>69</v>
      </c>
      <c r="B36" s="5" t="s">
        <v>70</v>
      </c>
      <c r="C36" s="5" t="s">
        <v>71</v>
      </c>
      <c r="D36" s="5" t="s">
        <v>185</v>
      </c>
      <c r="E36" s="5" t="s">
        <v>186</v>
      </c>
      <c r="F36" s="5" t="s">
        <v>187</v>
      </c>
      <c r="H36">
        <v>3</v>
      </c>
      <c r="I36">
        <f t="shared" si="0"/>
        <v>0</v>
      </c>
    </row>
    <row r="37" spans="1:9" ht="290" x14ac:dyDescent="0.35">
      <c r="A37" s="5" t="s">
        <v>72</v>
      </c>
      <c r="B37" s="5" t="s">
        <v>73</v>
      </c>
      <c r="C37" s="5" t="s">
        <v>74</v>
      </c>
      <c r="D37" s="5" t="s">
        <v>188</v>
      </c>
      <c r="E37" s="5" t="s">
        <v>189</v>
      </c>
      <c r="F37" s="5" t="s">
        <v>190</v>
      </c>
      <c r="H37">
        <v>3</v>
      </c>
      <c r="I37">
        <f t="shared" si="0"/>
        <v>0</v>
      </c>
    </row>
    <row r="38" spans="1:9" ht="246.5" x14ac:dyDescent="0.35">
      <c r="A38" s="5" t="s">
        <v>75</v>
      </c>
      <c r="B38" s="5" t="s">
        <v>76</v>
      </c>
      <c r="C38" s="5" t="s">
        <v>77</v>
      </c>
      <c r="D38" s="5" t="s">
        <v>191</v>
      </c>
      <c r="E38" s="5" t="s">
        <v>192</v>
      </c>
      <c r="F38" s="5" t="s">
        <v>193</v>
      </c>
      <c r="G38">
        <v>3</v>
      </c>
      <c r="H38">
        <v>3</v>
      </c>
      <c r="I38">
        <f t="shared" si="0"/>
        <v>9</v>
      </c>
    </row>
    <row r="39" spans="1:9" ht="203" x14ac:dyDescent="0.35">
      <c r="A39" s="5" t="s">
        <v>78</v>
      </c>
      <c r="B39" s="5" t="s">
        <v>79</v>
      </c>
      <c r="C39" s="5" t="s">
        <v>80</v>
      </c>
      <c r="D39" s="5" t="s">
        <v>194</v>
      </c>
      <c r="E39" s="5" t="s">
        <v>195</v>
      </c>
      <c r="F39" s="5" t="s">
        <v>196</v>
      </c>
      <c r="G39">
        <v>5</v>
      </c>
      <c r="H39">
        <v>3</v>
      </c>
      <c r="I39">
        <f t="shared" si="0"/>
        <v>15</v>
      </c>
    </row>
  </sheetData>
  <conditionalFormatting sqref="G2:G39">
    <cfRule type="cellIs" dxfId="9" priority="1" operator="lessThanOrEqual">
      <formula>1</formula>
    </cfRule>
    <cfRule type="cellIs" dxfId="8" priority="2" operator="equal">
      <formula>2</formula>
    </cfRule>
    <cfRule type="cellIs" dxfId="7" priority="3" operator="equal">
      <formula>3</formula>
    </cfRule>
    <cfRule type="cellIs" dxfId="6" priority="4" operator="equal">
      <formula>4</formula>
    </cfRule>
    <cfRule type="cellIs" dxfId="5" priority="5" operator="equal">
      <formula>5</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BF54017-05B2-4CB1-AA8D-EB448E7CDE9D}">
          <x14:formula1>
            <xm:f>Methodology!$A$4:$A$9</xm:f>
          </x14:formula1>
          <xm:sqref>G1:G1048576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DF32-2229-4A81-82D9-F69E890DE7C7}">
  <dimension ref="A1:B24"/>
  <sheetViews>
    <sheetView workbookViewId="0">
      <selection activeCell="F6" sqref="F6"/>
    </sheetView>
  </sheetViews>
  <sheetFormatPr defaultRowHeight="14.5" x14ac:dyDescent="0.35"/>
  <cols>
    <col min="1" max="1" width="34.90625" customWidth="1"/>
    <col min="2" max="2" width="48" customWidth="1"/>
  </cols>
  <sheetData>
    <row r="1" spans="1:2" x14ac:dyDescent="0.35">
      <c r="A1" s="6" t="s">
        <v>92</v>
      </c>
      <c r="B1" s="4" t="s">
        <v>201</v>
      </c>
    </row>
    <row r="2" spans="1:2" x14ac:dyDescent="0.35">
      <c r="A2" t="s">
        <v>6</v>
      </c>
      <c r="B2">
        <f>SUMIF('Scoring Matrix'!$A:$A, A2, 'Scoring Matrix'!$I:$I) / (COUNTIF('Scoring Matrix'!$A:$A, A2) * 15) * 100</f>
        <v>55.000000000000007</v>
      </c>
    </row>
    <row r="3" spans="1:2" x14ac:dyDescent="0.35">
      <c r="A3" t="s">
        <v>15</v>
      </c>
      <c r="B3">
        <f>SUMIF('Scoring Matrix'!$A:$A, A3, 'Scoring Matrix'!$I:$I) / (COUNTIF('Scoring Matrix'!$A:$A, A3) * 15) * 100</f>
        <v>60</v>
      </c>
    </row>
    <row r="4" spans="1:2" x14ac:dyDescent="0.35">
      <c r="A4" t="s">
        <v>16</v>
      </c>
      <c r="B4">
        <f>SUMIF('Scoring Matrix'!$A:$A, A4, 'Scoring Matrix'!$I:$I) / (COUNTIF('Scoring Matrix'!$A:$A, A4) * 15) * 100</f>
        <v>0</v>
      </c>
    </row>
    <row r="5" spans="1:2" x14ac:dyDescent="0.35">
      <c r="A5" t="s">
        <v>17</v>
      </c>
      <c r="B5">
        <f>SUMIF('Scoring Matrix'!$A:$A, A5, 'Scoring Matrix'!$I:$I) / (COUNTIF('Scoring Matrix'!$A:$A, A5) * 15) * 100</f>
        <v>0</v>
      </c>
    </row>
    <row r="6" spans="1:2" x14ac:dyDescent="0.35">
      <c r="A6" t="s">
        <v>18</v>
      </c>
      <c r="B6">
        <f>SUMIF('Scoring Matrix'!$A:$A, A6, 'Scoring Matrix'!$I:$I) / (COUNTIF('Scoring Matrix'!$A:$A, A6) * 15) * 100</f>
        <v>0</v>
      </c>
    </row>
    <row r="7" spans="1:2" x14ac:dyDescent="0.35">
      <c r="A7" t="s">
        <v>19</v>
      </c>
      <c r="B7">
        <f>SUMIF('Scoring Matrix'!$A:$A, A7, 'Scoring Matrix'!$I:$I) / (COUNTIF('Scoring Matrix'!$A:$A, A7) * 15) * 100</f>
        <v>0</v>
      </c>
    </row>
    <row r="8" spans="1:2" x14ac:dyDescent="0.35">
      <c r="A8" t="s">
        <v>20</v>
      </c>
      <c r="B8">
        <f>SUMIF('Scoring Matrix'!$A:$A, A8, 'Scoring Matrix'!$I:$I) / (COUNTIF('Scoring Matrix'!$A:$A, A8) * 15) * 100</f>
        <v>0</v>
      </c>
    </row>
    <row r="9" spans="1:2" x14ac:dyDescent="0.35">
      <c r="A9" t="s">
        <v>21</v>
      </c>
      <c r="B9">
        <f>SUMIF('Scoring Matrix'!$A:$A, A9, 'Scoring Matrix'!$I:$I) / (COUNTIF('Scoring Matrix'!$A:$A, A9) * 15) * 100</f>
        <v>0</v>
      </c>
    </row>
    <row r="10" spans="1:2" x14ac:dyDescent="0.35">
      <c r="A10" t="s">
        <v>22</v>
      </c>
      <c r="B10">
        <f>SUMIF('Scoring Matrix'!$A:$A, A10, 'Scoring Matrix'!$I:$I) / (COUNTIF('Scoring Matrix'!$A:$A, A10) * 15) * 100</f>
        <v>0</v>
      </c>
    </row>
    <row r="11" spans="1:2" x14ac:dyDescent="0.35">
      <c r="A11" t="s">
        <v>23</v>
      </c>
      <c r="B11">
        <f>SUMIF('Scoring Matrix'!$A:$A, A11, 'Scoring Matrix'!$I:$I) / (COUNTIF('Scoring Matrix'!$A:$A, A11) * 15) * 100</f>
        <v>0</v>
      </c>
    </row>
    <row r="12" spans="1:2" x14ac:dyDescent="0.35">
      <c r="A12" t="s">
        <v>24</v>
      </c>
      <c r="B12">
        <f>SUMIF('Scoring Matrix'!$A:$A, A12, 'Scoring Matrix'!$I:$I) / (COUNTIF('Scoring Matrix'!$A:$A, A12) * 15) * 100</f>
        <v>0</v>
      </c>
    </row>
    <row r="13" spans="1:2" x14ac:dyDescent="0.35">
      <c r="A13" t="s">
        <v>25</v>
      </c>
      <c r="B13">
        <f>SUMIF('Scoring Matrix'!$A:$A, A13, 'Scoring Matrix'!$I:$I) / (COUNTIF('Scoring Matrix'!$A:$A, A13) * 15) * 100</f>
        <v>0</v>
      </c>
    </row>
    <row r="14" spans="1:2" x14ac:dyDescent="0.35">
      <c r="A14" t="s">
        <v>26</v>
      </c>
      <c r="B14">
        <f>SUMIF('Scoring Matrix'!$A:$A, A14, 'Scoring Matrix'!$I:$I) / (COUNTIF('Scoring Matrix'!$A:$A, A14) * 15) * 100</f>
        <v>0</v>
      </c>
    </row>
    <row r="15" spans="1:2" x14ac:dyDescent="0.35">
      <c r="A15" t="s">
        <v>29</v>
      </c>
      <c r="B15">
        <f>SUMIF('Scoring Matrix'!$A:$A, A15, 'Scoring Matrix'!$I:$I) / (COUNTIF('Scoring Matrix'!$A:$A, A15) * 15) * 100</f>
        <v>0</v>
      </c>
    </row>
    <row r="16" spans="1:2" x14ac:dyDescent="0.35">
      <c r="A16" t="s">
        <v>44</v>
      </c>
      <c r="B16">
        <f>SUMIF('Scoring Matrix'!$A:$A, A16, 'Scoring Matrix'!$I:$I) / (COUNTIF('Scoring Matrix'!$A:$A, A16) * 15) * 100</f>
        <v>0</v>
      </c>
    </row>
    <row r="17" spans="1:2" x14ac:dyDescent="0.35">
      <c r="A17" t="s">
        <v>54</v>
      </c>
      <c r="B17">
        <f>SUMIF('Scoring Matrix'!$A:$A, A17, 'Scoring Matrix'!$I:$I) / (COUNTIF('Scoring Matrix'!$A:$A, A17) * 15) * 100</f>
        <v>0</v>
      </c>
    </row>
    <row r="18" spans="1:2" x14ac:dyDescent="0.35">
      <c r="A18" t="s">
        <v>60</v>
      </c>
      <c r="B18">
        <f>SUMIF('Scoring Matrix'!$A:$A, A18, 'Scoring Matrix'!$I:$I) / (COUNTIF('Scoring Matrix'!$A:$A, A18) * 15) * 100</f>
        <v>0</v>
      </c>
    </row>
    <row r="19" spans="1:2" x14ac:dyDescent="0.35">
      <c r="A19" t="s">
        <v>63</v>
      </c>
      <c r="B19">
        <f>SUMIF('Scoring Matrix'!$A:$A, A19, 'Scoring Matrix'!$I:$I) / (COUNTIF('Scoring Matrix'!$A:$A, A19) * 15) * 100</f>
        <v>40</v>
      </c>
    </row>
    <row r="20" spans="1:2" x14ac:dyDescent="0.35">
      <c r="A20" t="s">
        <v>66</v>
      </c>
      <c r="B20">
        <f>SUMIF('Scoring Matrix'!$A:$A, A20, 'Scoring Matrix'!$I:$I) / (COUNTIF('Scoring Matrix'!$A:$A, A20) * 15) * 100</f>
        <v>20</v>
      </c>
    </row>
    <row r="21" spans="1:2" x14ac:dyDescent="0.35">
      <c r="A21" t="s">
        <v>69</v>
      </c>
      <c r="B21">
        <f>SUMIF('Scoring Matrix'!$A:$A, A21, 'Scoring Matrix'!$I:$I) / (COUNTIF('Scoring Matrix'!$A:$A, A21) * 15) * 100</f>
        <v>0</v>
      </c>
    </row>
    <row r="22" spans="1:2" x14ac:dyDescent="0.35">
      <c r="A22" t="s">
        <v>72</v>
      </c>
      <c r="B22">
        <f>SUMIF('Scoring Matrix'!$A:$A, A22, 'Scoring Matrix'!$I:$I) / (COUNTIF('Scoring Matrix'!$A:$A, A22) * 15) * 100</f>
        <v>0</v>
      </c>
    </row>
    <row r="23" spans="1:2" x14ac:dyDescent="0.35">
      <c r="A23" t="s">
        <v>75</v>
      </c>
      <c r="B23">
        <f>SUMIF('Scoring Matrix'!$A:$A, A23, 'Scoring Matrix'!$I:$I) / (COUNTIF('Scoring Matrix'!$A:$A, A23) * 15) * 100</f>
        <v>60</v>
      </c>
    </row>
    <row r="24" spans="1:2" ht="15" customHeight="1" x14ac:dyDescent="0.35">
      <c r="A24" t="s">
        <v>78</v>
      </c>
      <c r="B24">
        <f>SUMIF('Scoring Matrix'!$A:$A, A24, 'Scoring Matrix'!$I:$I) / (COUNTIF('Scoring Matrix'!$A:$A, A24) * 15) * 100</f>
        <v>100</v>
      </c>
    </row>
  </sheetData>
  <conditionalFormatting sqref="B2:B24">
    <cfRule type="cellIs" dxfId="14" priority="1" operator="greaterThan">
      <formula>80</formula>
    </cfRule>
    <cfRule type="cellIs" dxfId="13" priority="2" operator="between">
      <formula>61</formula>
      <formula>80</formula>
    </cfRule>
    <cfRule type="cellIs" dxfId="12" priority="3" operator="between">
      <formula>41</formula>
      <formula>60</formula>
    </cfRule>
    <cfRule type="cellIs" dxfId="11" priority="4" operator="between">
      <formula>21</formula>
      <formula>40</formula>
    </cfRule>
    <cfRule type="cellIs" dxfId="10" priority="5" operator="lessThanOrEqual">
      <formula>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24B0-29C8-4A74-A771-202698755B8C}">
  <dimension ref="A1:B24"/>
  <sheetViews>
    <sheetView tabSelected="1" workbookViewId="0">
      <selection activeCell="Z20" sqref="Z20"/>
    </sheetView>
  </sheetViews>
  <sheetFormatPr defaultRowHeight="14.5" x14ac:dyDescent="0.35"/>
  <cols>
    <col min="1" max="1" width="33.453125" customWidth="1"/>
    <col min="2" max="2" width="13.90625" customWidth="1"/>
  </cols>
  <sheetData>
    <row r="1" spans="1:2" x14ac:dyDescent="0.35">
      <c r="A1" s="10" t="s">
        <v>92</v>
      </c>
      <c r="B1" s="10" t="s">
        <v>202</v>
      </c>
    </row>
    <row r="2" spans="1:2" x14ac:dyDescent="0.35">
      <c r="A2" t="s">
        <v>6</v>
      </c>
      <c r="B2">
        <f xml:space="preserve"> 'Domain Summary'!B2</f>
        <v>55.000000000000007</v>
      </c>
    </row>
    <row r="3" spans="1:2" x14ac:dyDescent="0.35">
      <c r="A3" t="s">
        <v>15</v>
      </c>
      <c r="B3">
        <f xml:space="preserve"> 'Domain Summary'!B3</f>
        <v>60</v>
      </c>
    </row>
    <row r="4" spans="1:2" x14ac:dyDescent="0.35">
      <c r="A4" t="s">
        <v>16</v>
      </c>
      <c r="B4">
        <f xml:space="preserve"> 'Domain Summary'!B4</f>
        <v>0</v>
      </c>
    </row>
    <row r="5" spans="1:2" x14ac:dyDescent="0.35">
      <c r="A5" t="s">
        <v>17</v>
      </c>
      <c r="B5">
        <f xml:space="preserve"> 'Domain Summary'!B5</f>
        <v>0</v>
      </c>
    </row>
    <row r="6" spans="1:2" x14ac:dyDescent="0.35">
      <c r="A6" t="s">
        <v>18</v>
      </c>
      <c r="B6">
        <f xml:space="preserve"> 'Domain Summary'!B6</f>
        <v>0</v>
      </c>
    </row>
    <row r="7" spans="1:2" x14ac:dyDescent="0.35">
      <c r="A7" t="s">
        <v>19</v>
      </c>
      <c r="B7">
        <f xml:space="preserve"> 'Domain Summary'!B7</f>
        <v>0</v>
      </c>
    </row>
    <row r="8" spans="1:2" x14ac:dyDescent="0.35">
      <c r="A8" t="s">
        <v>20</v>
      </c>
      <c r="B8">
        <f xml:space="preserve"> 'Domain Summary'!B8</f>
        <v>0</v>
      </c>
    </row>
    <row r="9" spans="1:2" x14ac:dyDescent="0.35">
      <c r="A9" t="s">
        <v>21</v>
      </c>
      <c r="B9">
        <f xml:space="preserve"> 'Domain Summary'!B9</f>
        <v>0</v>
      </c>
    </row>
    <row r="10" spans="1:2" x14ac:dyDescent="0.35">
      <c r="A10" t="s">
        <v>22</v>
      </c>
      <c r="B10">
        <f xml:space="preserve"> 'Domain Summary'!B10</f>
        <v>0</v>
      </c>
    </row>
    <row r="11" spans="1:2" x14ac:dyDescent="0.35">
      <c r="A11" t="s">
        <v>23</v>
      </c>
      <c r="B11">
        <f xml:space="preserve"> 'Domain Summary'!B11</f>
        <v>0</v>
      </c>
    </row>
    <row r="12" spans="1:2" x14ac:dyDescent="0.35">
      <c r="A12" t="s">
        <v>24</v>
      </c>
      <c r="B12">
        <f xml:space="preserve"> 'Domain Summary'!B12</f>
        <v>0</v>
      </c>
    </row>
    <row r="13" spans="1:2" x14ac:dyDescent="0.35">
      <c r="A13" t="s">
        <v>25</v>
      </c>
      <c r="B13">
        <f xml:space="preserve"> 'Domain Summary'!B13</f>
        <v>0</v>
      </c>
    </row>
    <row r="14" spans="1:2" x14ac:dyDescent="0.35">
      <c r="A14" t="s">
        <v>26</v>
      </c>
      <c r="B14">
        <f xml:space="preserve"> 'Domain Summary'!B14</f>
        <v>0</v>
      </c>
    </row>
    <row r="15" spans="1:2" x14ac:dyDescent="0.35">
      <c r="A15" t="s">
        <v>29</v>
      </c>
      <c r="B15">
        <f xml:space="preserve"> 'Domain Summary'!B15</f>
        <v>0</v>
      </c>
    </row>
    <row r="16" spans="1:2" x14ac:dyDescent="0.35">
      <c r="A16" t="s">
        <v>44</v>
      </c>
      <c r="B16">
        <f xml:space="preserve"> 'Domain Summary'!B16</f>
        <v>0</v>
      </c>
    </row>
    <row r="17" spans="1:2" x14ac:dyDescent="0.35">
      <c r="A17" t="s">
        <v>54</v>
      </c>
      <c r="B17">
        <f xml:space="preserve"> 'Domain Summary'!B17</f>
        <v>0</v>
      </c>
    </row>
    <row r="18" spans="1:2" x14ac:dyDescent="0.35">
      <c r="A18" t="s">
        <v>60</v>
      </c>
      <c r="B18">
        <f xml:space="preserve"> 'Domain Summary'!B18</f>
        <v>0</v>
      </c>
    </row>
    <row r="19" spans="1:2" x14ac:dyDescent="0.35">
      <c r="A19" t="s">
        <v>63</v>
      </c>
      <c r="B19">
        <f xml:space="preserve"> 'Domain Summary'!B19</f>
        <v>40</v>
      </c>
    </row>
    <row r="20" spans="1:2" x14ac:dyDescent="0.35">
      <c r="A20" t="s">
        <v>66</v>
      </c>
      <c r="B20">
        <f xml:space="preserve"> 'Domain Summary'!B20</f>
        <v>20</v>
      </c>
    </row>
    <row r="21" spans="1:2" x14ac:dyDescent="0.35">
      <c r="A21" t="s">
        <v>69</v>
      </c>
      <c r="B21">
        <f xml:space="preserve"> 'Domain Summary'!B21</f>
        <v>0</v>
      </c>
    </row>
    <row r="22" spans="1:2" x14ac:dyDescent="0.35">
      <c r="A22" t="s">
        <v>72</v>
      </c>
      <c r="B22">
        <f xml:space="preserve"> 'Domain Summary'!B22</f>
        <v>0</v>
      </c>
    </row>
    <row r="23" spans="1:2" x14ac:dyDescent="0.35">
      <c r="A23" t="s">
        <v>75</v>
      </c>
      <c r="B23">
        <f xml:space="preserve"> 'Domain Summary'!B23</f>
        <v>60</v>
      </c>
    </row>
    <row r="24" spans="1:2" x14ac:dyDescent="0.35">
      <c r="A24" t="s">
        <v>78</v>
      </c>
      <c r="B24">
        <f xml:space="preserve"> 'Domain Summary'!B24</f>
        <v>100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A7E0-B92C-4230-B563-3D7E8986D30D}">
  <dimension ref="A2:H109"/>
  <sheetViews>
    <sheetView topLeftCell="A6" workbookViewId="0">
      <selection activeCell="E8" sqref="E8"/>
    </sheetView>
  </sheetViews>
  <sheetFormatPr defaultColWidth="34" defaultRowHeight="14.5" x14ac:dyDescent="0.35"/>
  <cols>
    <col min="6" max="6" width="37.26953125" customWidth="1"/>
  </cols>
  <sheetData>
    <row r="2" spans="1:8" x14ac:dyDescent="0.35">
      <c r="A2" s="21" t="s">
        <v>272</v>
      </c>
      <c r="B2" s="21"/>
      <c r="C2" s="21"/>
      <c r="E2" s="13" t="s">
        <v>273</v>
      </c>
      <c r="F2" s="14"/>
    </row>
    <row r="3" spans="1:8" ht="17.5" x14ac:dyDescent="0.35">
      <c r="A3" s="15" t="s">
        <v>274</v>
      </c>
      <c r="B3" s="15" t="s">
        <v>275</v>
      </c>
      <c r="C3" s="15" t="s">
        <v>276</v>
      </c>
      <c r="E3" s="16" t="s">
        <v>277</v>
      </c>
      <c r="F3" s="14"/>
    </row>
    <row r="4" spans="1:8" ht="58" x14ac:dyDescent="0.35">
      <c r="A4" s="17">
        <v>0</v>
      </c>
      <c r="B4" s="17" t="s">
        <v>278</v>
      </c>
      <c r="C4" s="18" t="s">
        <v>279</v>
      </c>
      <c r="E4" s="14" t="s">
        <v>280</v>
      </c>
      <c r="F4" s="19" t="s">
        <v>281</v>
      </c>
    </row>
    <row r="5" spans="1:8" ht="72.5" x14ac:dyDescent="0.35">
      <c r="A5" s="17">
        <v>1</v>
      </c>
      <c r="B5" s="17" t="s">
        <v>282</v>
      </c>
      <c r="C5" s="18" t="s">
        <v>283</v>
      </c>
      <c r="E5" s="20"/>
      <c r="F5" s="19" t="s">
        <v>284</v>
      </c>
    </row>
    <row r="6" spans="1:8" ht="72.5" x14ac:dyDescent="0.35">
      <c r="A6" s="17">
        <v>2</v>
      </c>
      <c r="B6" s="17" t="s">
        <v>285</v>
      </c>
      <c r="C6" s="18" t="s">
        <v>286</v>
      </c>
      <c r="E6" s="14" t="s">
        <v>287</v>
      </c>
      <c r="F6" s="14"/>
    </row>
    <row r="7" spans="1:8" ht="72.5" x14ac:dyDescent="0.35">
      <c r="A7" s="17">
        <v>3</v>
      </c>
      <c r="B7" s="17" t="s">
        <v>288</v>
      </c>
      <c r="C7" s="18" t="s">
        <v>289</v>
      </c>
    </row>
    <row r="8" spans="1:8" ht="72.5" x14ac:dyDescent="0.35">
      <c r="A8" s="17">
        <v>4</v>
      </c>
      <c r="B8" s="17" t="s">
        <v>290</v>
      </c>
      <c r="C8" s="18" t="s">
        <v>291</v>
      </c>
    </row>
    <row r="9" spans="1:8" ht="87" x14ac:dyDescent="0.35">
      <c r="A9" s="17">
        <v>5</v>
      </c>
      <c r="B9" s="17" t="s">
        <v>292</v>
      </c>
      <c r="C9" s="18" t="s">
        <v>293</v>
      </c>
    </row>
    <row r="10" spans="1:8" x14ac:dyDescent="0.35">
      <c r="A10" s="1"/>
      <c r="E10" s="22" t="s">
        <v>294</v>
      </c>
      <c r="F10" s="22"/>
      <c r="G10" s="22"/>
      <c r="H10" s="22"/>
    </row>
    <row r="11" spans="1:8" x14ac:dyDescent="0.35">
      <c r="A11" s="2"/>
      <c r="E11" s="15" t="s">
        <v>295</v>
      </c>
      <c r="F11" s="15" t="s">
        <v>274</v>
      </c>
      <c r="G11" s="15" t="s">
        <v>296</v>
      </c>
      <c r="H11" s="15" t="s">
        <v>297</v>
      </c>
    </row>
    <row r="12" spans="1:8" x14ac:dyDescent="0.35">
      <c r="A12" s="22" t="s">
        <v>298</v>
      </c>
      <c r="B12" s="22"/>
      <c r="C12" s="22"/>
      <c r="E12" s="17" t="s">
        <v>299</v>
      </c>
      <c r="F12" s="18" t="s">
        <v>300</v>
      </c>
      <c r="G12" s="17" t="s">
        <v>301</v>
      </c>
      <c r="H12" s="18" t="s">
        <v>302</v>
      </c>
    </row>
    <row r="13" spans="1:8" x14ac:dyDescent="0.35">
      <c r="A13" s="15" t="s">
        <v>303</v>
      </c>
      <c r="B13" s="15" t="s">
        <v>304</v>
      </c>
      <c r="C13" s="15" t="s">
        <v>297</v>
      </c>
      <c r="E13" s="17" t="s">
        <v>305</v>
      </c>
      <c r="F13" s="18" t="s">
        <v>306</v>
      </c>
      <c r="G13" s="17" t="s">
        <v>307</v>
      </c>
      <c r="H13" s="18" t="s">
        <v>308</v>
      </c>
    </row>
    <row r="14" spans="1:8" x14ac:dyDescent="0.35">
      <c r="A14" s="17" t="s">
        <v>309</v>
      </c>
      <c r="B14" s="18" t="s">
        <v>307</v>
      </c>
      <c r="C14" s="18" t="s">
        <v>302</v>
      </c>
      <c r="E14" s="17" t="s">
        <v>310</v>
      </c>
      <c r="F14" s="18" t="s">
        <v>311</v>
      </c>
      <c r="G14" s="17" t="s">
        <v>312</v>
      </c>
      <c r="H14" s="18" t="s">
        <v>313</v>
      </c>
    </row>
    <row r="15" spans="1:8" x14ac:dyDescent="0.35">
      <c r="A15" s="17">
        <v>2</v>
      </c>
      <c r="B15" s="18" t="s">
        <v>314</v>
      </c>
      <c r="C15" s="18" t="s">
        <v>308</v>
      </c>
      <c r="E15" s="17" t="s">
        <v>315</v>
      </c>
      <c r="F15" s="18" t="s">
        <v>316</v>
      </c>
      <c r="G15" s="17" t="s">
        <v>317</v>
      </c>
      <c r="H15" s="18" t="s">
        <v>318</v>
      </c>
    </row>
    <row r="16" spans="1:8" x14ac:dyDescent="0.35">
      <c r="A16" s="17">
        <v>3</v>
      </c>
      <c r="B16" s="18" t="s">
        <v>319</v>
      </c>
      <c r="C16" s="18" t="s">
        <v>313</v>
      </c>
      <c r="E16" s="17" t="s">
        <v>320</v>
      </c>
      <c r="F16" s="18" t="s">
        <v>321</v>
      </c>
      <c r="G16" s="17" t="s">
        <v>322</v>
      </c>
      <c r="H16" s="18" t="s">
        <v>323</v>
      </c>
    </row>
    <row r="17" spans="1:3" x14ac:dyDescent="0.35">
      <c r="A17" s="17">
        <v>4</v>
      </c>
      <c r="B17" s="18" t="s">
        <v>324</v>
      </c>
      <c r="C17" s="18" t="s">
        <v>318</v>
      </c>
    </row>
    <row r="18" spans="1:3" x14ac:dyDescent="0.35">
      <c r="A18" s="17">
        <v>5</v>
      </c>
      <c r="B18" s="18" t="s">
        <v>325</v>
      </c>
      <c r="C18" s="18" t="s">
        <v>323</v>
      </c>
    </row>
    <row r="19" spans="1:3" x14ac:dyDescent="0.35">
      <c r="A19" s="2"/>
    </row>
    <row r="20" spans="1:3" x14ac:dyDescent="0.35">
      <c r="A20" s="1"/>
    </row>
    <row r="21" spans="1:3" x14ac:dyDescent="0.35">
      <c r="A21" s="2"/>
    </row>
    <row r="22" spans="1:3" x14ac:dyDescent="0.35">
      <c r="A22" s="1"/>
    </row>
    <row r="23" spans="1:3" x14ac:dyDescent="0.35">
      <c r="A23" s="2"/>
    </row>
    <row r="24" spans="1:3" x14ac:dyDescent="0.35">
      <c r="A24" s="1"/>
    </row>
    <row r="25" spans="1:3" x14ac:dyDescent="0.35">
      <c r="A25" s="2"/>
    </row>
    <row r="27" spans="1:3" ht="17.5" x14ac:dyDescent="0.35">
      <c r="A27" s="11"/>
    </row>
    <row r="28" spans="1:3" x14ac:dyDescent="0.35">
      <c r="A28" s="1"/>
    </row>
    <row r="29" spans="1:3" x14ac:dyDescent="0.35">
      <c r="A29" s="2"/>
    </row>
    <row r="30" spans="1:3" x14ac:dyDescent="0.35">
      <c r="A30" s="1"/>
    </row>
    <row r="31" spans="1:3" x14ac:dyDescent="0.35">
      <c r="A31" s="2"/>
    </row>
    <row r="32" spans="1:3" x14ac:dyDescent="0.35">
      <c r="A32" s="1"/>
    </row>
    <row r="33" spans="1:1" x14ac:dyDescent="0.35">
      <c r="A33" s="2"/>
    </row>
    <row r="34" spans="1:1" x14ac:dyDescent="0.35">
      <c r="A34" s="1"/>
    </row>
    <row r="35" spans="1:1" x14ac:dyDescent="0.35">
      <c r="A35" s="2"/>
    </row>
    <row r="36" spans="1:1" x14ac:dyDescent="0.35">
      <c r="A36" s="1"/>
    </row>
    <row r="37" spans="1:1" x14ac:dyDescent="0.35">
      <c r="A37" s="2"/>
    </row>
    <row r="38" spans="1:1" x14ac:dyDescent="0.35">
      <c r="A38" s="1"/>
    </row>
    <row r="39" spans="1:1" x14ac:dyDescent="0.35">
      <c r="A39" s="2"/>
    </row>
    <row r="40" spans="1:1" x14ac:dyDescent="0.35">
      <c r="A40" s="1"/>
    </row>
    <row r="41" spans="1:1" x14ac:dyDescent="0.35">
      <c r="A41" s="2"/>
    </row>
    <row r="42" spans="1:1" x14ac:dyDescent="0.35">
      <c r="A42" s="1"/>
    </row>
    <row r="43" spans="1:1" x14ac:dyDescent="0.35">
      <c r="A43" s="2"/>
    </row>
    <row r="44" spans="1:1" x14ac:dyDescent="0.35">
      <c r="A44" s="1"/>
    </row>
    <row r="45" spans="1:1" x14ac:dyDescent="0.35">
      <c r="A45" s="2"/>
    </row>
    <row r="46" spans="1:1" x14ac:dyDescent="0.35">
      <c r="A46" s="1"/>
    </row>
    <row r="47" spans="1:1" x14ac:dyDescent="0.35">
      <c r="A47" s="2"/>
    </row>
    <row r="48" spans="1:1" x14ac:dyDescent="0.35">
      <c r="A48" s="1"/>
    </row>
    <row r="49" spans="1:1" x14ac:dyDescent="0.35">
      <c r="A49" s="2"/>
    </row>
    <row r="50" spans="1:1" x14ac:dyDescent="0.35">
      <c r="A50" s="1"/>
    </row>
    <row r="51" spans="1:1" x14ac:dyDescent="0.35">
      <c r="A51" s="2"/>
    </row>
    <row r="52" spans="1:1" x14ac:dyDescent="0.35">
      <c r="A52" s="1"/>
    </row>
    <row r="53" spans="1:1" x14ac:dyDescent="0.35">
      <c r="A53" s="2"/>
    </row>
    <row r="54" spans="1:1" x14ac:dyDescent="0.35">
      <c r="A54" s="1"/>
    </row>
    <row r="55" spans="1:1" x14ac:dyDescent="0.35">
      <c r="A55" s="2"/>
    </row>
    <row r="57" spans="1:1" ht="17.5" x14ac:dyDescent="0.35">
      <c r="A57" s="11"/>
    </row>
    <row r="58" spans="1:1" x14ac:dyDescent="0.35">
      <c r="A58" s="1"/>
    </row>
    <row r="59" spans="1:1" x14ac:dyDescent="0.35">
      <c r="A59" s="2"/>
    </row>
    <row r="60" spans="1:1" x14ac:dyDescent="0.35">
      <c r="A60" s="1"/>
    </row>
    <row r="61" spans="1:1" x14ac:dyDescent="0.35">
      <c r="A61" s="2"/>
    </row>
    <row r="62" spans="1:1" x14ac:dyDescent="0.35">
      <c r="A62" s="1"/>
    </row>
    <row r="63" spans="1:1" x14ac:dyDescent="0.35">
      <c r="A63" s="2"/>
    </row>
    <row r="64" spans="1:1" x14ac:dyDescent="0.35">
      <c r="A64" s="1"/>
    </row>
    <row r="65" spans="1:1" x14ac:dyDescent="0.35">
      <c r="A65" s="2"/>
    </row>
    <row r="66" spans="1:1" x14ac:dyDescent="0.35">
      <c r="A66" s="1"/>
    </row>
    <row r="67" spans="1:1" x14ac:dyDescent="0.35">
      <c r="A67" s="2"/>
    </row>
    <row r="68" spans="1:1" x14ac:dyDescent="0.35">
      <c r="A68" s="1"/>
    </row>
    <row r="69" spans="1:1" x14ac:dyDescent="0.35">
      <c r="A69" s="2"/>
    </row>
    <row r="71" spans="1:1" ht="17.5" x14ac:dyDescent="0.35">
      <c r="A71" s="11"/>
    </row>
    <row r="72" spans="1:1" x14ac:dyDescent="0.35">
      <c r="A72" s="1"/>
    </row>
    <row r="73" spans="1:1" x14ac:dyDescent="0.35">
      <c r="A73" s="2"/>
    </row>
    <row r="74" spans="1:1" x14ac:dyDescent="0.35">
      <c r="A74" s="1"/>
    </row>
    <row r="75" spans="1:1" x14ac:dyDescent="0.35">
      <c r="A75" s="2"/>
    </row>
    <row r="76" spans="1:1" x14ac:dyDescent="0.35">
      <c r="A76" s="1"/>
    </row>
    <row r="77" spans="1:1" x14ac:dyDescent="0.35">
      <c r="A77" s="2"/>
    </row>
    <row r="78" spans="1:1" x14ac:dyDescent="0.35">
      <c r="A78" s="1"/>
    </row>
    <row r="79" spans="1:1" x14ac:dyDescent="0.35">
      <c r="A79" s="2"/>
    </row>
    <row r="80" spans="1:1" x14ac:dyDescent="0.35">
      <c r="A80" s="1"/>
    </row>
    <row r="81" spans="1:1" x14ac:dyDescent="0.35">
      <c r="A81" s="2"/>
    </row>
    <row r="83" spans="1:1" ht="17.5" x14ac:dyDescent="0.35">
      <c r="A83" s="11"/>
    </row>
    <row r="84" spans="1:1" x14ac:dyDescent="0.35">
      <c r="A84" s="1"/>
    </row>
    <row r="85" spans="1:1" x14ac:dyDescent="0.35">
      <c r="A85" s="2"/>
    </row>
    <row r="86" spans="1:1" x14ac:dyDescent="0.35">
      <c r="A86" s="1"/>
    </row>
    <row r="87" spans="1:1" x14ac:dyDescent="0.35">
      <c r="A87" s="2"/>
    </row>
    <row r="88" spans="1:1" x14ac:dyDescent="0.35">
      <c r="A88" s="1"/>
    </row>
    <row r="89" spans="1:1" x14ac:dyDescent="0.35">
      <c r="A89" s="2"/>
    </row>
    <row r="90" spans="1:1" x14ac:dyDescent="0.35">
      <c r="A90" s="1"/>
    </row>
    <row r="91" spans="1:1" x14ac:dyDescent="0.35">
      <c r="A91" s="2"/>
    </row>
    <row r="92" spans="1:1" x14ac:dyDescent="0.35">
      <c r="A92" s="1"/>
    </row>
    <row r="93" spans="1:1" x14ac:dyDescent="0.35">
      <c r="A93" s="2"/>
    </row>
    <row r="94" spans="1:1" x14ac:dyDescent="0.35">
      <c r="A94" s="1"/>
    </row>
    <row r="95" spans="1:1" x14ac:dyDescent="0.35">
      <c r="A95" s="2"/>
    </row>
    <row r="97" spans="1:1" ht="17.5" x14ac:dyDescent="0.35">
      <c r="A97" s="11"/>
    </row>
    <row r="98" spans="1:1" x14ac:dyDescent="0.35">
      <c r="A98" s="1"/>
    </row>
    <row r="99" spans="1:1" x14ac:dyDescent="0.35">
      <c r="A99" s="2"/>
    </row>
    <row r="100" spans="1:1" x14ac:dyDescent="0.35">
      <c r="A100" s="1"/>
    </row>
    <row r="101" spans="1:1" x14ac:dyDescent="0.35">
      <c r="A101" s="2"/>
    </row>
    <row r="102" spans="1:1" x14ac:dyDescent="0.35">
      <c r="A102" s="1"/>
    </row>
    <row r="103" spans="1:1" x14ac:dyDescent="0.35">
      <c r="A103" s="2"/>
    </row>
    <row r="104" spans="1:1" x14ac:dyDescent="0.35">
      <c r="A104" s="1"/>
    </row>
    <row r="105" spans="1:1" x14ac:dyDescent="0.35">
      <c r="A105" s="2"/>
    </row>
    <row r="106" spans="1:1" x14ac:dyDescent="0.35">
      <c r="A106" s="1"/>
    </row>
    <row r="107" spans="1:1" x14ac:dyDescent="0.35">
      <c r="A107" s="2"/>
    </row>
    <row r="108" spans="1:1" x14ac:dyDescent="0.35">
      <c r="A108" s="1"/>
    </row>
    <row r="109" spans="1:1" x14ac:dyDescent="0.35">
      <c r="A109" s="2"/>
    </row>
  </sheetData>
  <mergeCells count="3">
    <mergeCell ref="A2:C2"/>
    <mergeCell ref="E10:H10"/>
    <mergeCell ref="A12:C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05BC-8629-490E-A5E9-BCAB02BEA1E0}">
  <dimension ref="A3:B11"/>
  <sheetViews>
    <sheetView workbookViewId="0">
      <selection activeCell="B15" sqref="B15"/>
    </sheetView>
  </sheetViews>
  <sheetFormatPr defaultColWidth="13.7265625" defaultRowHeight="14.5" x14ac:dyDescent="0.35"/>
  <cols>
    <col min="2" max="2" width="42.6328125" customWidth="1"/>
  </cols>
  <sheetData>
    <row r="3" spans="1:2" ht="29" x14ac:dyDescent="0.35">
      <c r="A3" s="4" t="s">
        <v>326</v>
      </c>
      <c r="B3" s="4" t="s">
        <v>304</v>
      </c>
    </row>
    <row r="4" spans="1:2" x14ac:dyDescent="0.35">
      <c r="A4" s="6" t="s">
        <v>327</v>
      </c>
      <c r="B4" s="5" t="s">
        <v>328</v>
      </c>
    </row>
    <row r="5" spans="1:2" x14ac:dyDescent="0.35">
      <c r="A5" s="6" t="s">
        <v>329</v>
      </c>
      <c r="B5" s="5" t="s">
        <v>330</v>
      </c>
    </row>
    <row r="6" spans="1:2" x14ac:dyDescent="0.35">
      <c r="A6" s="6" t="s">
        <v>331</v>
      </c>
      <c r="B6" s="5" t="s">
        <v>332</v>
      </c>
    </row>
    <row r="7" spans="1:2" x14ac:dyDescent="0.35">
      <c r="A7" s="6" t="s">
        <v>333</v>
      </c>
      <c r="B7" s="5" t="s">
        <v>334</v>
      </c>
    </row>
    <row r="8" spans="1:2" x14ac:dyDescent="0.35">
      <c r="A8" s="6" t="s">
        <v>335</v>
      </c>
      <c r="B8" s="5" t="s">
        <v>336</v>
      </c>
    </row>
    <row r="9" spans="1:2" x14ac:dyDescent="0.35">
      <c r="A9" s="6" t="s">
        <v>337</v>
      </c>
      <c r="B9" s="5" t="s">
        <v>63</v>
      </c>
    </row>
    <row r="10" spans="1:2" x14ac:dyDescent="0.35">
      <c r="A10" s="6" t="s">
        <v>338</v>
      </c>
      <c r="B10" s="5" t="s">
        <v>339</v>
      </c>
    </row>
    <row r="11" spans="1:2" x14ac:dyDescent="0.35">
      <c r="A11" s="6" t="s">
        <v>340</v>
      </c>
      <c r="B11" s="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Scoring Matrix</vt:lpstr>
      <vt:lpstr>Domain Summary</vt:lpstr>
      <vt:lpstr>Radar Data</vt:lpstr>
      <vt:lpstr>Methodology</vt:lpstr>
      <vt:lpstr>Abbreviations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2025-12-05T05:16:44Z</dcterms:created>
  <dcterms:modified xsi:type="dcterms:W3CDTF">2025-12-07T19:51:54Z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2025-12-05T05:49:30Z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2124385a-b597-4c39-b51a-c299c6572966</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