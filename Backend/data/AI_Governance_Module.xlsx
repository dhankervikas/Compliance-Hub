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bsigroup-my.sharepoint.com/personal/vikas_dhanker_bsigroup_com/Documents/Documents/AI Foundation Framework/"/>
    </mc:Choice>
  </mc:AlternateContent>
  <xr:revisionPtr revIDLastSave="152" documentId="8_{216EF53D-BB2E-4DEC-99D7-1CDC99B266C5}" xr6:coauthVersionLast="47" xr6:coauthVersionMax="47" xr10:uidLastSave="{22CC7753-95FC-40F0-A430-4FB8EAEAB8FF}"/>
  <bookViews>
    <workbookView xWindow="-110" yWindow="-110" windowWidth="19420" windowHeight="10300" firstSheet="9" activeTab="11" xr2:uid="{D45EC850-DD42-4133-A52E-6A43AB48CEB7}"/>
  </bookViews>
  <sheets>
    <sheet name="Scoring Matrix" sheetId="1" r:id="rId1"/>
    <sheet name="Metrics Table" sheetId="13" r:id="rId2"/>
    <sheet name="AI Landscape &amp; Scope (Evaluate)" sheetId="2" r:id="rId3"/>
    <sheet name="Strategic Alignment &amp; Direction" sheetId="3" r:id="rId4"/>
    <sheet name="AI Risk Posture Summary" sheetId="4" r:id="rId5"/>
    <sheet name="Performance &amp; Risk Indicators" sheetId="5" r:id="rId6"/>
    <sheet name="Incidents &amp; Compliance(Monitor)" sheetId="6" r:id="rId7"/>
    <sheet name="Risk Treatment &amp; Actions" sheetId="7" r:id="rId8"/>
    <sheet name="Assurance &amp; Continuous Imprmt" sheetId="8" r:id="rId9"/>
    <sheet name="Decisions Required from Board" sheetId="9" r:id="rId10"/>
    <sheet name="Sheet10" sheetId="10" r:id="rId11"/>
    <sheet name="Dashboard &amp; Assessor Guide" sheetId="11" r:id="rId12"/>
    <sheet name="Introduction&amp; Assessor Guidance" sheetId="12"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5" l="1"/>
  <c r="B4" i="5"/>
  <c r="B3" i="5"/>
  <c r="B2" i="5"/>
  <c r="C6" i="4"/>
  <c r="C5" i="4"/>
  <c r="C4" i="4"/>
  <c r="C3" i="4"/>
  <c r="C2" i="4"/>
  <c r="B6" i="4"/>
  <c r="B4" i="4"/>
  <c r="B3" i="4"/>
  <c r="B5" i="4"/>
  <c r="B2" i="4"/>
  <c r="C5" i="3"/>
  <c r="C3" i="3"/>
  <c r="C4" i="3"/>
  <c r="C2" i="3"/>
  <c r="B2" i="3"/>
  <c r="B3" i="3"/>
  <c r="B4" i="3"/>
  <c r="B5" i="3"/>
  <c r="H5" i="3"/>
  <c r="H4" i="3"/>
  <c r="H3" i="3"/>
  <c r="H2" i="3"/>
  <c r="C5" i="2"/>
  <c r="C4" i="2"/>
  <c r="C3" i="2"/>
  <c r="C2" i="2"/>
  <c r="B5" i="2"/>
  <c r="B4" i="2"/>
  <c r="B3" i="2"/>
  <c r="B2" i="2"/>
</calcChain>
</file>

<file path=xl/sharedStrings.xml><?xml version="1.0" encoding="utf-8"?>
<sst xmlns="http://schemas.openxmlformats.org/spreadsheetml/2006/main" count="395" uniqueCount="354">
  <si>
    <t>Clause Description</t>
  </si>
  <si>
    <t>Governance &amp; Risk Requirements</t>
  </si>
  <si>
    <t>Key Questions to Be Asked</t>
  </si>
  <si>
    <t>Information / Documents to Be Checked</t>
  </si>
  <si>
    <t>Evaluation of AI use and associated risks</t>
  </si>
  <si>
    <t>The governing body shall evaluate proposed and existing AI use cases based on organizational objectives, values, regulatory obligations, and AI-specific risks, including potential harm, bias, misuse, and unintended consequences.</t>
  </si>
  <si>
    <t>D1 – Direct</t>
  </si>
  <si>
    <t>Direction on acceptable AI use</t>
  </si>
  <si>
    <t>D2 – Direct</t>
  </si>
  <si>
    <t>Accountability and decision authority</t>
  </si>
  <si>
    <t>D3 – Direct</t>
  </si>
  <si>
    <t>Direction on AI risk treatment and controls</t>
  </si>
  <si>
    <t>M1 – Monitor</t>
  </si>
  <si>
    <t>Monitoring of AI performance and risk</t>
  </si>
  <si>
    <t>M2 – Monitor</t>
  </si>
  <si>
    <t>Monitoring of incidents and compliance</t>
  </si>
  <si>
    <t>M3 – Monitor</t>
  </si>
  <si>
    <t>Continuous improvement and assurance</t>
  </si>
  <si>
    <r>
      <t xml:space="preserve">• Obtain the organization’s AI use-case inventory and confirm completeness across business units.• Select a representative sample of AI use cases (including high-risk and low-risk).• Verify that each sampled use case has undergone a documented evaluation </t>
    </r>
    <r>
      <rPr>
        <b/>
        <sz val="11"/>
        <color theme="1"/>
        <rFont val="Aptos Narrow"/>
        <family val="2"/>
        <scheme val="minor"/>
      </rPr>
      <t>prior to approval or deployment</t>
    </r>
    <r>
      <rPr>
        <sz val="11"/>
        <color theme="1"/>
        <rFont val="Aptos Narrow"/>
        <family val="2"/>
        <scheme val="minor"/>
      </rPr>
      <t>.• Confirm the evaluation considers decision criticality, degree of automation, affected stakeholders, and potential negative outcomes.• Verify alignment of the AI use case with organizational objectives, stated values, and risk appetite.• Confirm identification and assessment of legal, ethical, and societal risks, including potential harm or bias.• Verify evidence of governing body or delegated committee review for high-risk AI use cases.</t>
    </r>
  </si>
  <si>
    <t>• AI use-case register or inventory (current and approved versions)• AI risk and impact assessment reports aligned to ISO/IEC 23894• Business cases, proposals, or justification documents for AI initiatives• Risk appetite and tolerance statements referencing AI use• Legal, regulatory, and ethical applicability analysis (e.g., privacy, discrimination, sector rules)• Board or executive committee minutes, approvals, or decision records• Records of rejected, deferred, or modified AI proposals</t>
  </si>
  <si>
    <t>The governing body shall evaluate risks arising from data use, data quality, data provenance, and dependencies within the AI ecosystem, including third-party providers and external data sources.</t>
  </si>
  <si>
    <t>• Obtain the list of datasets used for AI training, testing, validation, and operation.• Verify that data sources are formally identified, documented, and approved before use.• Assess whether data quality dimensions (accuracy, completeness, relevance, timeliness) are evaluated and documented.• Verify that data provenance and lineage are traceable from source to model use.• Confirm assessment of bias, representativeness, and potential discriminatory outcomes in datasets.• Identify third-party components (data providers, model vendors, cloud platforms) within the AI ecosystem.• Verify that third-party and supplier risks are evaluated prior to integration.• Confirm that data use complies with applicable legal, contractual, and ethical requirements.• Verify that governing body or delegated oversight function reviews high-risk data and ecosystem dependencies.</t>
  </si>
  <si>
    <t>• Data governance framework and policies• Data inventory covering AI datasets (training, testing, inference)• Data source documentation and lineage diagrams• Data quality assessment reports• Bias, fairness, and representativeness analysis reports• Privacy impact assessments (DPIA/PIA)• Third-party and supplier risk assessments• Vendor contracts and data-sharing agreements• Governing body or committee review records related to data or ecosystem risks</t>
  </si>
  <si>
    <t>The governing body shall set clear direction on acceptable and unacceptable AI uses, based on organizational strategy, values, and a defined AI risk appetite.</t>
  </si>
  <si>
    <t>• Obtain the organization’s AI governance policy, principles, or equivalent governing documents.• Verify that acceptable, restricted, and prohibited AI uses are explicitly defined and documented.• Confirm that AI direction is aligned with organizational strategy, purpose, and stated values.• Verify that an AI-specific risk appetite or tolerance statement is defined and approved by the governing body.• Assess whether high-risk AI use cases are subject to enhanced approval, escalation, or additional safeguards.• Confirm that approval criteria for AI initiatives are clearly defined and consistently applied.• Verify that direction from the governing body is formally communicated to management and embedded into decision-making processes.</t>
  </si>
  <si>
    <t>• Board-approved AI policy, principles, or ethics charter• AI strategy, roadmap, or strategic planning documents• Risk appetite and tolerance statements specific to AI use• AI use classification (approved / restricted / prohibited)• Approval and escalation criteria for AI initiatives• Board or executive committee minutes approving AI direction• Evidence of communication of AI direction to management (memos, intranet, guidance documents)</t>
  </si>
  <si>
    <t>The governing body shall ensure that accountability for AI-enabled decisions remains with identified human roles, and that decision authority, escalation, and override mechanisms are clearly defined and enforceable.</t>
  </si>
  <si>
    <t>• Obtain documentation defining accountability for AI-enabled decisions and outcomes.• Verify that accountable human roles are explicitly identified for each AI system or use case.• Confirm that accountability spans the AI lifecycle (design, deployment, operation, and retirement).• Assess whether decisions that must remain under human authority are clearly defined and documented.• Verify that escalation paths exist for AI-related issues, errors, or unexpected outcomes.• Confirm that override mechanisms (human-in-the-loop, human-on-the-loop, or kill switch) are formally defined and accessible.• Test whether AI decisions can be challenged, reversed, or suspended in practice, not only in policy.• Verify governing body or delegated oversight approval of accountability and decision authority arrangements.</t>
  </si>
  <si>
    <t>• RACI charts or AI accountability matrices• Role descriptions for AI owners, sponsors, and operators• AI lifecycle ownership documentation• Decision authority frameworks and delegation matrices• Escalation and incident response procedures for AI outcomes• Human-in-the-loop / human override documentation• Evidence of override testing or incident examples• Board or committee approvals related to AI accountability</t>
  </si>
  <si>
    <t>The governing body shall direct management to implement proportionate controls and risk treatments for AI risks, based on assessed risk severity, likelihood, and potential impact.</t>
  </si>
  <si>
    <t>• Obtain the AI risk register and risk treatment plans for in-scope AI systems.• Verify that AI risks have been evaluated using a defined risk methodology aligned with ISO/IEC 23894.• Confirm that risk treatment options (avoid, reduce, transfer, accept) are selected based on risk severity and impact.• Assess whether controls implemented are proportionate to the level of AI risk and decision criticality.• Verify that high-risk AI use cases have enhanced or layered controls as directed by the governing body.• Confirm that residual risks are formally reviewed and accepted by appropriate authority, not defaulted to management alone.• Verify that escalation criteria exist for risks exceeding defined AI risk appetite.• Confirm that management action plans are defined, tracked, and reported back to the governing body.</t>
  </si>
  <si>
    <t>• AI risk register and risk treatment plans (ISO/IEC 23894 aligned)• Documented AI risk assessment methodology• Control design and implementation documentation• Mapping of controls to specific AI risks• Residual risk acceptance records with approval authority• Management action plans with owners and timelines• Governing body or committee minutes directing risk treatment decisions</t>
  </si>
  <si>
    <t>The governing body shall monitor AI systems to ensure they continue to perform as intended and that AI-related risks remain within defined and acceptable limits.</t>
  </si>
  <si>
    <t>• Obtain AI performance and risk monitoring reports provided to the governing body or delegated oversight function.• Verify that performance metrics are defined for AI systems and measured on a recurring basis.• Confirm that key risks related to AI (accuracy, bias, drift, misuse, degradation) are actively monitored.• Assess whether KPIs and KRIs are aligned with the organization’s AI risk appetite and decision criticality.• Verify that mechanisms exist to detect model drift, bias, or performance degradation over time.• Confirm that early warning indicators and thresholds are defined to trigger investigation or escalation.• Review periodic AI risk reviews to ensure risks remain within acceptable limits.• Verify that monitoring outcomes are reported upward and can trigger corrective action, override, or reassessment.</t>
  </si>
  <si>
    <t>• AI performance and monitoring reports• Defined KPIs and KRIs for AI systems• Bias, fairness, and drift monitoring outputs• Model performance trend analyses• Periodic AI risk review records• Thresholds and alert definitions for AI risk indicators• Governing body or oversight committee reports and minutes• Records of actions taken based on monitoring results</t>
  </si>
  <si>
    <t>The governing body shall ensure that AI-related incidents, nonconformities, and compliance issues are identified, reported, escalated, and addressed in a timely and effective manner.</t>
  </si>
  <si>
    <t>• Obtain the AI incident and issue management process and verify it covers AI-specific incidents and near misses.• Review AI incident logs to confirm incidents are recorded, categorized, and investigated.• Verify that incident severity criteria and escalation thresholds are defined and applied consistently.• Confirm that significant AI incidents are escalated to the governing body or designated oversight committee.• Verify that regulatory, legal, and policy compliance obligations related to AI are monitored on an ongoing basis.• Review how compliance breaches or nonconformities are identified and addressed.• Confirm that corrective and preventive actions are defined, tracked, and closed.• Assess whether incident trends and compliance issues are periodically reviewed to inform governance decisions.</t>
  </si>
  <si>
    <t>• AI incident and issue logs (including near misses)• Incident classification and escalation procedures• Investigation and root cause analysis records• Compliance reports and internal or external audit results• Regulatory correspondence and notifications• Records of nonconformities and breaches related to AI• Corrective and preventive action (CAPA) records• Governing body or oversight committee reports and minutes</t>
  </si>
  <si>
    <t>The governing body shall monitor the effectiveness of AI governance and AI risk management arrangements and require continual improvement, including independent assurance where appropriate.</t>
  </si>
  <si>
    <t>• Obtain records of periodic reviews of AI governance and risk management arrangements.• Verify that reviews assess effectiveness, not just existence, of governance mechanisms.• Confirm that lessons learned from AI incidents, near misses, audits, and risk reviews are formally captured.• Verify that lessons learned are translated into updates to governance direction, policies, or controls.• Assess whether independent assurance (internal audit, external audit, or expert review) is obtained for high-risk AI use cases or where required by regulation or risk appetite.• Confirm that management review outputs related to AI governance are reported to the governing body.• Verify that governance improvements are tracked, approved, and implemented.• Confirm that the AI governance framework is reviewed and updated in response to changes in technology, regulation, or organizational context.</t>
  </si>
  <si>
    <t>• Governance review agendas and minutes• Management review outputs covering AI governance and risk• Internal audit reports related to AI governance• External assurance or independent review reports• Lessons learned registers or post-incident reviews• Records of framework updates and version control• Improvement action plans and status tracking• Governing body approvals for governance changes</t>
  </si>
  <si>
    <t>Metric</t>
  </si>
  <si>
    <t>Current Status</t>
  </si>
  <si>
    <t>Trend (↑ ↓ →)</t>
  </si>
  <si>
    <t>Board Insight</t>
  </si>
  <si>
    <t>Total AI systems in use</t>
  </si>
  <si>
    <t>Visibility of AI footprint</t>
  </si>
  <si>
    <t>New AI use cases since last review</t>
  </si>
  <si>
    <t>Pace of AI adoption</t>
  </si>
  <si>
    <t>High-risk AI use cases</t>
  </si>
  <si>
    <t>Areas needing enhanced oversight</t>
  </si>
  <si>
    <t>AI systems outside approved scope (Yes/No)</t>
  </si>
  <si>
    <t>Immediate governance concern if Yes</t>
  </si>
  <si>
    <r>
      <t xml:space="preserve">Use </t>
    </r>
    <r>
      <rPr>
        <b/>
        <sz val="11"/>
        <color theme="1"/>
        <rFont val="Aptos Narrow"/>
        <family val="2"/>
        <scheme val="minor"/>
      </rPr>
      <t>Data Validation</t>
    </r>
    <r>
      <rPr>
        <sz val="11"/>
        <color theme="1"/>
        <rFont val="Aptos Narrow"/>
        <family val="2"/>
        <scheme val="minor"/>
      </rPr>
      <t xml:space="preserve"> for:</t>
    </r>
  </si>
  <si>
    <t>Green / Amber / Red</t>
  </si>
  <si>
    <t>Yes / No</t>
  </si>
  <si>
    <t>Low / Medium / High</t>
  </si>
  <si>
    <r>
      <t xml:space="preserve">Use </t>
    </r>
    <r>
      <rPr>
        <b/>
        <sz val="11"/>
        <color theme="1"/>
        <rFont val="Aptos Narrow"/>
        <family val="2"/>
        <scheme val="minor"/>
      </rPr>
      <t>Conditional Formatting</t>
    </r>
    <r>
      <rPr>
        <sz val="11"/>
        <color theme="1"/>
        <rFont val="Aptos Narrow"/>
        <family val="2"/>
        <scheme val="minor"/>
      </rPr>
      <t>:</t>
    </r>
  </si>
  <si>
    <t>Red = immediate board attention</t>
  </si>
  <si>
    <t>Amber = watch closely</t>
  </si>
  <si>
    <t>Green = within tolerance</t>
  </si>
  <si>
    <r>
      <t xml:space="preserve">One dashboard = </t>
    </r>
    <r>
      <rPr>
        <b/>
        <sz val="11"/>
        <color theme="1"/>
        <rFont val="Aptos Narrow"/>
        <family val="2"/>
        <scheme val="minor"/>
      </rPr>
      <t>one board pack slide</t>
    </r>
    <r>
      <rPr>
        <sz val="11"/>
        <color theme="1"/>
        <rFont val="Aptos Narrow"/>
        <family val="2"/>
        <scheme val="minor"/>
      </rPr>
      <t>, not multiple reports</t>
    </r>
  </si>
  <si>
    <t>How to use this</t>
  </si>
  <si>
    <t>Area</t>
  </si>
  <si>
    <t>Status (Green/Amber/Red)</t>
  </si>
  <si>
    <t>Board Question</t>
  </si>
  <si>
    <t>Alignment with AI strategy</t>
  </si>
  <si>
    <t>Are we using AI where we said we would?</t>
  </si>
  <si>
    <t>Alignment with organizational values</t>
  </si>
  <si>
    <t>Does any AI use conflict with our values?</t>
  </si>
  <si>
    <t>Adherence to AI risk appetite</t>
  </si>
  <si>
    <t>Are risks exceeding what we approved?</t>
  </si>
  <si>
    <t>Prohibited or restricted AI use detected (Yes/No)</t>
  </si>
  <si>
    <t>Why was this allowed to proceed?</t>
  </si>
  <si>
    <t>Risk Category</t>
  </si>
  <si>
    <t>Current Level (Low/Med/High)</t>
  </si>
  <si>
    <t>Change Since Last Review (↑ ↓ →)</t>
  </si>
  <si>
    <t>Harm to individuals or society</t>
  </si>
  <si>
    <t>Bias and discrimination risk</t>
  </si>
  <si>
    <t>Legal or regulatory exposure</t>
  </si>
  <si>
    <t>Data protection and privacy risk</t>
  </si>
  <si>
    <t>Third-party and ecosystem risk</t>
  </si>
  <si>
    <t>Indicator</t>
  </si>
  <si>
    <t>Threshold / Target</t>
  </si>
  <si>
    <t>Board Action if Red</t>
  </si>
  <si>
    <t>AI accuracy / effectiveness</t>
  </si>
  <si>
    <t>Require corrective plan</t>
  </si>
  <si>
    <t>Bias or fairness indicators</t>
  </si>
  <si>
    <t>Escalate and reassess</t>
  </si>
  <si>
    <t>Model drift detected (Yes/No)</t>
  </si>
  <si>
    <t>N/A</t>
  </si>
  <si>
    <t>Trigger reassessment</t>
  </si>
  <si>
    <t>Early warning alerts triggered</t>
  </si>
  <si>
    <t>Investigate and intervene</t>
  </si>
  <si>
    <t>Item</t>
  </si>
  <si>
    <t>This Period</t>
  </si>
  <si>
    <t>Open Items</t>
  </si>
  <si>
    <t>Board Visibility</t>
  </si>
  <si>
    <t>AI-related incidents</t>
  </si>
  <si>
    <t>Major incidents escalated</t>
  </si>
  <si>
    <t>Near misses</t>
  </si>
  <si>
    <t>Early risk signal</t>
  </si>
  <si>
    <t>Regulatory issues (Yes/No)</t>
  </si>
  <si>
    <t>Zero tolerance</t>
  </si>
  <si>
    <t>Policy or control nonconformities</t>
  </si>
  <si>
    <t>Governance gap if recurring</t>
  </si>
  <si>
    <t>Action</t>
  </si>
  <si>
    <t>Owner</t>
  </si>
  <si>
    <t>Status (On Track / Delayed)</t>
  </si>
  <si>
    <t>Board Concern</t>
  </si>
  <si>
    <t>High-risk AI mitigation plan</t>
  </si>
  <si>
    <t>Delay increases exposure</t>
  </si>
  <si>
    <t>Residual AI risk accepted (Yes/No)</t>
  </si>
  <si>
    <t>Board decision only</t>
  </si>
  <si>
    <t>Control enhancements required</t>
  </si>
  <si>
    <t>Ensures proportional controls</t>
  </si>
  <si>
    <t>Status (Yes/No)</t>
  </si>
  <si>
    <t>AI governance review completed</t>
  </si>
  <si>
    <t>Are reviews happening regularly?</t>
  </si>
  <si>
    <t>Internal audit performed</t>
  </si>
  <si>
    <t>Were findings material?</t>
  </si>
  <si>
    <t>Independent / external assurance obtained</t>
  </si>
  <si>
    <t>Needed for high-risk AI?</t>
  </si>
  <si>
    <t>Framework updates implemented</t>
  </si>
  <si>
    <t>Are lessons being applied?</t>
  </si>
  <si>
    <t>Decision Required</t>
  </si>
  <si>
    <t>Reason</t>
  </si>
  <si>
    <t>Due Date</t>
  </si>
  <si>
    <t>Decision Status</t>
  </si>
  <si>
    <t>Approve new high-risk AI use</t>
  </si>
  <si>
    <t>Strategic impact</t>
  </si>
  <si>
    <t>Accept residual AI risk</t>
  </si>
  <si>
    <t>Above risk appetite</t>
  </si>
  <si>
    <t>Direct additional controls</t>
  </si>
  <si>
    <t>Incident or drift</t>
  </si>
  <si>
    <t>Commission independent review</t>
  </si>
  <si>
    <t>Assurance gap</t>
  </si>
  <si>
    <t>Dashboard Population &amp; Assessor Guidance</t>
  </si>
  <si>
    <t>1. General Rules (Apply to All Dashboard Sheets)</t>
  </si>
  <si>
    <t>Source of Truth</t>
  </si>
  <si>
    <r>
      <t xml:space="preserve">All dashboard data must be derived from the </t>
    </r>
    <r>
      <rPr>
        <b/>
        <sz val="11"/>
        <color theme="1"/>
        <rFont val="Aptos Narrow"/>
        <family val="2"/>
        <scheme val="minor"/>
      </rPr>
      <t>Scoring Matrix</t>
    </r>
    <r>
      <rPr>
        <sz val="11"/>
        <color theme="1"/>
        <rFont val="Aptos Narrow"/>
        <family val="2"/>
        <scheme val="minor"/>
      </rPr>
      <t xml:space="preserve"> (controls E1–M3 and assessor comments).</t>
    </r>
  </si>
  <si>
    <t>Data Entry</t>
  </si>
  <si>
    <r>
      <t xml:space="preserve">Dashboard values are entered </t>
    </r>
    <r>
      <rPr>
        <b/>
        <sz val="11"/>
        <color theme="1"/>
        <rFont val="Aptos Narrow"/>
        <family val="2"/>
        <scheme val="minor"/>
      </rPr>
      <t>once per assessment cycle</t>
    </r>
  </si>
  <si>
    <r>
      <t xml:space="preserve">Dashboard sheets are </t>
    </r>
    <r>
      <rPr>
        <b/>
        <sz val="11"/>
        <color theme="1"/>
        <rFont val="Aptos Narrow"/>
        <family val="2"/>
        <scheme val="minor"/>
      </rPr>
      <t>summary views</t>
    </r>
    <r>
      <rPr>
        <sz val="11"/>
        <color theme="1"/>
        <rFont val="Aptos Narrow"/>
        <family val="2"/>
        <scheme val="minor"/>
      </rPr>
      <t>, not detailed working papers</t>
    </r>
  </si>
  <si>
    <t>First Assessment</t>
  </si>
  <si>
    <r>
      <t xml:space="preserve">Use </t>
    </r>
    <r>
      <rPr>
        <b/>
        <sz val="11"/>
        <color theme="1"/>
        <rFont val="Aptos Narrow"/>
        <family val="2"/>
        <scheme val="minor"/>
      </rPr>
      <t>Trend Score = 0 (Baseline established)</t>
    </r>
    <r>
      <rPr>
        <sz val="11"/>
        <color theme="1"/>
        <rFont val="Aptos Narrow"/>
        <family val="2"/>
        <scheme val="minor"/>
      </rPr>
      <t xml:space="preserve"> for all applicable sections</t>
    </r>
  </si>
  <si>
    <t>2. Trend Scoring (Common for All Sections)</t>
  </si>
  <si>
    <t>Trend Score</t>
  </si>
  <si>
    <t>Meaning</t>
  </si>
  <si>
    <t>Baseline (first assessment)</t>
  </si>
  <si>
    <t>Improvement since last assessment</t>
  </si>
  <si>
    <t>No material change</t>
  </si>
  <si>
    <t>Deterioration since last assessment</t>
  </si>
  <si>
    <t>Trend Assignment Rule</t>
  </si>
  <si>
    <r>
      <t xml:space="preserve">Compare current results with the </t>
    </r>
    <r>
      <rPr>
        <b/>
        <sz val="11"/>
        <color theme="1"/>
        <rFont val="Aptos Narrow"/>
        <family val="2"/>
        <scheme val="minor"/>
      </rPr>
      <t>previous assessment</t>
    </r>
    <r>
      <rPr>
        <sz val="11"/>
        <color theme="1"/>
        <rFont val="Aptos Narrow"/>
        <family val="2"/>
        <scheme val="minor"/>
      </rPr>
      <t>.</t>
    </r>
  </si>
  <si>
    <r>
      <t xml:space="preserve">If no prior assessment exists, assign </t>
    </r>
    <r>
      <rPr>
        <b/>
        <sz val="11"/>
        <color theme="1"/>
        <rFont val="Aptos Narrow"/>
        <family val="2"/>
        <scheme val="minor"/>
      </rPr>
      <t>0</t>
    </r>
    <r>
      <rPr>
        <sz val="11"/>
        <color theme="1"/>
        <rFont val="Aptos Narrow"/>
        <family val="2"/>
        <scheme val="minor"/>
      </rPr>
      <t>.</t>
    </r>
  </si>
  <si>
    <t>3. Dashboard Sections – Filling Guidance</t>
  </si>
  <si>
    <t>A. AI Landscape &amp; Scope (Evaluate)</t>
  </si>
  <si>
    <t>Purpose</t>
  </si>
  <si>
    <t>Visibility of AI footprint and identification of unmanaged or out-of-scope AI.</t>
  </si>
  <si>
    <t>Filled Using</t>
  </si>
  <si>
    <r>
      <t>E1</t>
    </r>
    <r>
      <rPr>
        <sz val="11"/>
        <color theme="1"/>
        <rFont val="Aptos Narrow"/>
        <family val="2"/>
        <scheme val="minor"/>
      </rPr>
      <t xml:space="preserve"> and </t>
    </r>
    <r>
      <rPr>
        <b/>
        <sz val="11"/>
        <color theme="1"/>
        <rFont val="Aptos Narrow"/>
        <family val="2"/>
        <scheme val="minor"/>
      </rPr>
      <t>E2</t>
    </r>
    <r>
      <rPr>
        <sz val="11"/>
        <color theme="1"/>
        <rFont val="Aptos Narrow"/>
        <family val="2"/>
        <scheme val="minor"/>
      </rPr>
      <t xml:space="preserve"> assessor comments</t>
    </r>
  </si>
  <si>
    <t>Assessor Action</t>
  </si>
  <si>
    <t>Count AI systems identified</t>
  </si>
  <si>
    <t>Identify high-risk AI</t>
  </si>
  <si>
    <t>Identify unapproved or unknown AI</t>
  </si>
  <si>
    <t>Escalation Trigger</t>
  </si>
  <si>
    <t>Any AI outside approved scope or unapproved high-risk AI.</t>
  </si>
  <si>
    <t>B. Strategic Alignment &amp; Direction (Direct)</t>
  </si>
  <si>
    <t>Confirms AI use aligns with approved strategy, values, and risk appetite.</t>
  </si>
  <si>
    <r>
      <t>D1</t>
    </r>
    <r>
      <rPr>
        <sz val="11"/>
        <color theme="1"/>
        <rFont val="Aptos Narrow"/>
        <family val="2"/>
        <scheme val="minor"/>
      </rPr>
      <t xml:space="preserve"> and </t>
    </r>
    <r>
      <rPr>
        <b/>
        <sz val="11"/>
        <color theme="1"/>
        <rFont val="Aptos Narrow"/>
        <family val="2"/>
        <scheme val="minor"/>
      </rPr>
      <t>D2</t>
    </r>
    <r>
      <rPr>
        <sz val="11"/>
        <color theme="1"/>
        <rFont val="Aptos Narrow"/>
        <family val="2"/>
        <scheme val="minor"/>
      </rPr>
      <t xml:space="preserve"> scores</t>
    </r>
  </si>
  <si>
    <t>Misalignment with strategy, values, or undefined accountability.</t>
  </si>
  <si>
    <t>C. AI Risk Posture Summary (Evaluate → Monitor)</t>
  </si>
  <si>
    <t>Summary of overall AI risk exposure.</t>
  </si>
  <si>
    <r>
      <t>E1</t>
    </r>
    <r>
      <rPr>
        <sz val="11"/>
        <color theme="1"/>
        <rFont val="Aptos Narrow"/>
        <family val="2"/>
        <scheme val="minor"/>
      </rPr>
      <t xml:space="preserve">, </t>
    </r>
    <r>
      <rPr>
        <b/>
        <sz val="11"/>
        <color theme="1"/>
        <rFont val="Aptos Narrow"/>
        <family val="2"/>
        <scheme val="minor"/>
      </rPr>
      <t>E2</t>
    </r>
    <r>
      <rPr>
        <sz val="11"/>
        <color theme="1"/>
        <rFont val="Aptos Narrow"/>
        <family val="2"/>
        <scheme val="minor"/>
      </rPr>
      <t xml:space="preserve">, </t>
    </r>
    <r>
      <rPr>
        <b/>
        <sz val="11"/>
        <color theme="1"/>
        <rFont val="Aptos Narrow"/>
        <family val="2"/>
        <scheme val="minor"/>
      </rPr>
      <t>D3</t>
    </r>
    <r>
      <rPr>
        <sz val="11"/>
        <color theme="1"/>
        <rFont val="Aptos Narrow"/>
        <family val="2"/>
        <scheme val="minor"/>
      </rPr>
      <t xml:space="preserve"> scores and comments</t>
    </r>
  </si>
  <si>
    <t>High or increasing AI risk beyond appetite.</t>
  </si>
  <si>
    <t>D. Performance &amp; Risk Indicators (Monitor)</t>
  </si>
  <si>
    <t>Visibility of AI performance, drift, or degradation.</t>
  </si>
  <si>
    <r>
      <t>M1</t>
    </r>
    <r>
      <rPr>
        <sz val="11"/>
        <color theme="1"/>
        <rFont val="Aptos Narrow"/>
        <family val="2"/>
        <scheme val="minor"/>
      </rPr>
      <t xml:space="preserve"> score and comments</t>
    </r>
  </si>
  <si>
    <t>Performance degradation, bias, or drift detected.</t>
  </si>
  <si>
    <t>E. Incidents &amp; Compliance (Monitor)</t>
  </si>
  <si>
    <t>Visibility of AI-related incidents and compliance issues.</t>
  </si>
  <si>
    <r>
      <t>M2</t>
    </r>
    <r>
      <rPr>
        <sz val="11"/>
        <color theme="1"/>
        <rFont val="Aptos Narrow"/>
        <family val="2"/>
        <scheme val="minor"/>
      </rPr>
      <t xml:space="preserve"> score and comments</t>
    </r>
  </si>
  <si>
    <t>Regulatory breach, repeated incidents, or unresolved nonconformities.</t>
  </si>
  <si>
    <t>F. Risk Treatment &amp; Actions (Direct → Monitor)</t>
  </si>
  <si>
    <t>Tracking of AI risk treatments and corrective actions.</t>
  </si>
  <si>
    <r>
      <t>D3</t>
    </r>
    <r>
      <rPr>
        <sz val="11"/>
        <color theme="1"/>
        <rFont val="Aptos Narrow"/>
        <family val="2"/>
        <scheme val="minor"/>
      </rPr>
      <t xml:space="preserve"> and </t>
    </r>
    <r>
      <rPr>
        <b/>
        <sz val="11"/>
        <color theme="1"/>
        <rFont val="Aptos Narrow"/>
        <family val="2"/>
        <scheme val="minor"/>
      </rPr>
      <t>M2</t>
    </r>
    <r>
      <rPr>
        <sz val="11"/>
        <color theme="1"/>
        <rFont val="Aptos Narrow"/>
        <family val="2"/>
        <scheme val="minor"/>
      </rPr>
      <t xml:space="preserve"> comments</t>
    </r>
  </si>
  <si>
    <t>Overdue, ineffective, or unapproved risk treatments.</t>
  </si>
  <si>
    <t>G. Assurance &amp; Continuous Improvement (Monitor)</t>
  </si>
  <si>
    <t>Assessment of governance effectiveness and improvement.</t>
  </si>
  <si>
    <r>
      <t>M3</t>
    </r>
    <r>
      <rPr>
        <sz val="11"/>
        <color theme="1"/>
        <rFont val="Aptos Narrow"/>
        <family val="2"/>
        <scheme val="minor"/>
      </rPr>
      <t xml:space="preserve"> score and comments</t>
    </r>
  </si>
  <si>
    <t>No governance review, no assurance, or stagnation.</t>
  </si>
  <si>
    <t>H. Decisions Required from Board</t>
  </si>
  <si>
    <t>Log of matters requiring governing-body action.</t>
  </si>
  <si>
    <t>Manual entry by assessor when escalation triggers are met</t>
  </si>
  <si>
    <t>Minimum Information Required</t>
  </si>
  <si>
    <t>Related control (E/D/M reference)</t>
  </si>
  <si>
    <t>Issue summary</t>
  </si>
  <si>
    <t>Decision required</t>
  </si>
  <si>
    <t>Due date</t>
  </si>
  <si>
    <t>4. Global Assessor Rule</t>
  </si>
  <si>
    <t>If it is not documented in the Scoring Matrix comments, it must not appear on the dashboard.</t>
  </si>
  <si>
    <t>Score</t>
  </si>
  <si>
    <t>Not implemented</t>
  </si>
  <si>
    <t>No comment = score not valid</t>
  </si>
  <si>
    <t>AI Governance Assessment – Introduction &amp; Guidance</t>
  </si>
  <si>
    <t>Purpose of This Workbook</t>
  </si>
  <si>
    <r>
      <t xml:space="preserve">This workbook is used to assess </t>
    </r>
    <r>
      <rPr>
        <b/>
        <sz val="11"/>
        <color theme="1"/>
        <rFont val="Aptos Narrow"/>
        <family val="2"/>
        <scheme val="minor"/>
      </rPr>
      <t>AI governance effectiveness</t>
    </r>
    <r>
      <rPr>
        <sz val="11"/>
        <color theme="1"/>
        <rFont val="Aptos Narrow"/>
        <family val="2"/>
        <scheme val="minor"/>
      </rPr>
      <t xml:space="preserve"> at the </t>
    </r>
    <r>
      <rPr>
        <b/>
        <sz val="11"/>
        <color theme="1"/>
        <rFont val="Aptos Narrow"/>
        <family val="2"/>
        <scheme val="minor"/>
      </rPr>
      <t>governing-body level</t>
    </r>
    <r>
      <rPr>
        <sz val="11"/>
        <color theme="1"/>
        <rFont val="Aptos Narrow"/>
        <family val="2"/>
        <scheme val="minor"/>
      </rPr>
      <t xml:space="preserve">, aligned to </t>
    </r>
    <r>
      <rPr>
        <b/>
        <sz val="11"/>
        <color theme="1"/>
        <rFont val="Aptos Narrow"/>
        <family val="2"/>
        <scheme val="minor"/>
      </rPr>
      <t>Evaluate – Direct – Monitor</t>
    </r>
    <r>
      <rPr>
        <sz val="11"/>
        <color theme="1"/>
        <rFont val="Aptos Narrow"/>
        <family val="2"/>
        <scheme val="minor"/>
      </rPr>
      <t xml:space="preserve"> principles.</t>
    </r>
  </si>
  <si>
    <r>
      <t xml:space="preserve">It focuses on </t>
    </r>
    <r>
      <rPr>
        <b/>
        <sz val="11"/>
        <color theme="1"/>
        <rFont val="Aptos Narrow"/>
        <family val="2"/>
        <scheme val="minor"/>
      </rPr>
      <t>governance, accountability, direction, and oversight</t>
    </r>
    <r>
      <rPr>
        <sz val="11"/>
        <color theme="1"/>
        <rFont val="Aptos Narrow"/>
        <family val="2"/>
        <scheme val="minor"/>
      </rPr>
      <t>, not technical AI design.</t>
    </r>
  </si>
  <si>
    <t>Workbook Structure (What Each Sheet Is For)</t>
  </si>
  <si>
    <t>Sheet Name</t>
  </si>
  <si>
    <t>Scoring Matrix</t>
  </si>
  <si>
    <t>Primary working sheet; contains controls, testing procedures, evidence, comments, and scores</t>
  </si>
  <si>
    <t>AI Landscape &amp; Scope (Evaluate)</t>
  </si>
  <si>
    <t>Summary view of AI footprint</t>
  </si>
  <si>
    <t>Strategic Alignment &amp; Direction</t>
  </si>
  <si>
    <t>Summary of alignment with strategy and values</t>
  </si>
  <si>
    <t>AI Risk Posture Summary</t>
  </si>
  <si>
    <t>Overall AI risk exposure</t>
  </si>
  <si>
    <t>Performance &amp; Risk Indicators</t>
  </si>
  <si>
    <t>Monitoring of AI performance and drift</t>
  </si>
  <si>
    <t>Incidents &amp; Compliance</t>
  </si>
  <si>
    <t>AI incidents and regulatory issues</t>
  </si>
  <si>
    <t>Risk Treatment &amp; Actions</t>
  </si>
  <si>
    <t>Status of AI risk treatments</t>
  </si>
  <si>
    <t>Assurance &amp; Continuous Improvement</t>
  </si>
  <si>
    <t>Governance review and assurance</t>
  </si>
  <si>
    <t>Decisions Required from Board</t>
  </si>
  <si>
    <t>Matters requiring governing-body decisions</t>
  </si>
  <si>
    <r>
      <t>Rule:</t>
    </r>
    <r>
      <rPr>
        <sz val="11"/>
        <color theme="1"/>
        <rFont val="Aptos Narrow"/>
        <family val="2"/>
        <scheme val="minor"/>
      </rPr>
      <t xml:space="preserve"> Dashboard sheets are summaries only.</t>
    </r>
  </si>
  <si>
    <t>All evidence and judgment must be recorded in the Scoring Matrix.</t>
  </si>
  <si>
    <t>Assessor Responsibilities</t>
  </si>
  <si>
    <t>Follow the testing procedure for each control (E1–M3)</t>
  </si>
  <si>
    <t>Review the listed evidence</t>
  </si>
  <si>
    <t>Record clear comments</t>
  </si>
  <si>
    <t>Assign a score based on evidence</t>
  </si>
  <si>
    <t>Escalate material issues to the board</t>
  </si>
  <si>
    <t>Assessors must not rely on verbal assurances alone.</t>
  </si>
  <si>
    <t>Control Scoring Scale (Applies to All Controls)</t>
  </si>
  <si>
    <t>Ad hoc / informal</t>
  </si>
  <si>
    <t>Defined but weak or inconsistent</t>
  </si>
  <si>
    <t>Implemented and operating</t>
  </si>
  <si>
    <t>Effective and improving</t>
  </si>
  <si>
    <t>Scoring rule:</t>
  </si>
  <si>
    <r>
      <t xml:space="preserve">If a control exists only on paper and is not used in practice → </t>
    </r>
    <r>
      <rPr>
        <b/>
        <sz val="11"/>
        <color theme="1"/>
        <rFont val="Aptos Narrow"/>
        <family val="2"/>
        <scheme val="minor"/>
      </rPr>
      <t>Score ≤ 2</t>
    </r>
  </si>
  <si>
    <t>Control-Specific Scoring Anchors</t>
  </si>
  <si>
    <t>Evaluate (E1, E2)</t>
  </si>
  <si>
    <t>0–1: No or informal evaluation</t>
  </si>
  <si>
    <t>2: Evaluation documented but limited use</t>
  </si>
  <si>
    <t>3: Evaluation informs decisions</t>
  </si>
  <si>
    <t>4: Evaluation reviewed and improved</t>
  </si>
  <si>
    <t>Direct (D1, D2, D3)</t>
  </si>
  <si>
    <t>0–1: No clear direction or accountability</t>
  </si>
  <si>
    <t>2: Direction defined but weakly enforced</t>
  </si>
  <si>
    <t>3: Clear, approved, and applied</t>
  </si>
  <si>
    <t>4: Direction reviewed and effective</t>
  </si>
  <si>
    <t>Monitor (M1, M2, M3)</t>
  </si>
  <si>
    <t>0–1: Reactive or no monitoring</t>
  </si>
  <si>
    <t>2: Monitoring defined but weak</t>
  </si>
  <si>
    <t>3: Monitoring active and reported</t>
  </si>
  <si>
    <t>4: Monitoring drives improvement</t>
  </si>
  <si>
    <t>Mandatory Comment Rule</t>
  </si>
  <si>
    <t>For every control scored:</t>
  </si>
  <si>
    <r>
      <t>Score 0–1:</t>
    </r>
    <r>
      <rPr>
        <sz val="11"/>
        <color theme="1"/>
        <rFont val="Aptos Narrow"/>
        <family val="2"/>
        <scheme val="minor"/>
      </rPr>
      <t xml:space="preserve"> State what is missing</t>
    </r>
  </si>
  <si>
    <r>
      <t>Score 2–4:</t>
    </r>
    <r>
      <rPr>
        <sz val="11"/>
        <color theme="1"/>
        <rFont val="Aptos Narrow"/>
        <family val="2"/>
        <scheme val="minor"/>
      </rPr>
      <t xml:space="preserve"> State what evidence was reviewed and why the score is justified</t>
    </r>
  </si>
  <si>
    <t>Trend Scoring (Used Across All Dashboard Sheets)</t>
  </si>
  <si>
    <t>Improvement</t>
  </si>
  <si>
    <t>Deterioration</t>
  </si>
  <si>
    <r>
      <t xml:space="preserve">If no prior assessment exists, always use </t>
    </r>
    <r>
      <rPr>
        <b/>
        <sz val="11"/>
        <color theme="1"/>
        <rFont val="Aptos Narrow"/>
        <family val="2"/>
        <scheme val="minor"/>
      </rPr>
      <t>0 (Baseline)</t>
    </r>
    <r>
      <rPr>
        <sz val="11"/>
        <color theme="1"/>
        <rFont val="Aptos Narrow"/>
        <family val="2"/>
        <scheme val="minor"/>
      </rPr>
      <t>.</t>
    </r>
  </si>
  <si>
    <t>Dashboard Population Rule</t>
  </si>
  <si>
    <r>
      <t xml:space="preserve">Dashboard values are derived from </t>
    </r>
    <r>
      <rPr>
        <b/>
        <sz val="11"/>
        <color theme="1"/>
        <rFont val="Aptos Narrow"/>
        <family val="2"/>
        <scheme val="minor"/>
      </rPr>
      <t>scores and comments</t>
    </r>
  </si>
  <si>
    <t>Dashboard sheets must not introduce new information</t>
  </si>
  <si>
    <r>
      <t xml:space="preserve">If it is </t>
    </r>
    <r>
      <rPr>
        <b/>
        <sz val="11"/>
        <color theme="1"/>
        <rFont val="Aptos Narrow"/>
        <family val="2"/>
        <scheme val="minor"/>
      </rPr>
      <t>not written in the Scoring Matrix comments</t>
    </r>
    <r>
      <rPr>
        <sz val="11"/>
        <color theme="1"/>
        <rFont val="Aptos Narrow"/>
        <family val="2"/>
        <scheme val="minor"/>
      </rPr>
      <t xml:space="preserve">, it must </t>
    </r>
    <r>
      <rPr>
        <b/>
        <sz val="11"/>
        <color theme="1"/>
        <rFont val="Aptos Narrow"/>
        <family val="2"/>
        <scheme val="minor"/>
      </rPr>
      <t>not appear on the dashboard</t>
    </r>
  </si>
  <si>
    <t>Board Escalation Rule</t>
  </si>
  <si>
    <r>
      <t xml:space="preserve">Any of the following must be recorded in </t>
    </r>
    <r>
      <rPr>
        <b/>
        <sz val="11"/>
        <color theme="1"/>
        <rFont val="Aptos Narrow"/>
        <family val="2"/>
        <scheme val="minor"/>
      </rPr>
      <t>Decisions Required from Board</t>
    </r>
    <r>
      <rPr>
        <sz val="11"/>
        <color theme="1"/>
        <rFont val="Aptos Narrow"/>
        <family val="2"/>
        <scheme val="minor"/>
      </rPr>
      <t>:</t>
    </r>
  </si>
  <si>
    <t>High or increasing AI risk</t>
  </si>
  <si>
    <t>AI outside approved scope</t>
  </si>
  <si>
    <t>Undefined accountability</t>
  </si>
  <si>
    <t>Regulatory or compliance issues</t>
  </si>
  <si>
    <t>Residual risk above appetite</t>
  </si>
  <si>
    <t>Final Assessor Declaration (Before Close-Out)</t>
  </si>
  <si>
    <t>Confirm that:</t>
  </si>
  <si>
    <t>All controls E1–M3 are scored</t>
  </si>
  <si>
    <t>Comments justify scores</t>
  </si>
  <si>
    <t>Dashboard summaries reflect scoring</t>
  </si>
  <si>
    <t>Material issues are escalated</t>
  </si>
  <si>
    <t>Value_Current</t>
  </si>
  <si>
    <t>Value_Prior</t>
  </si>
  <si>
    <t>Notes (Optional)</t>
  </si>
  <si>
    <t>Total_AI_Systems</t>
  </si>
  <si>
    <t>New_AI_Use_Cases</t>
  </si>
  <si>
    <t>High_Risk_AI</t>
  </si>
  <si>
    <t>Outside_Approved_Scope</t>
  </si>
  <si>
    <t>Score_Current (0-4)</t>
  </si>
  <si>
    <t>Score_Prior (0-4)</t>
  </si>
  <si>
    <t>Control_ID</t>
  </si>
  <si>
    <t>E1 - Evaluate</t>
  </si>
  <si>
    <t>E2 - Evaluate</t>
  </si>
  <si>
    <t>Trend</t>
  </si>
  <si>
    <t>Restricted_or_Prohibited_Detected</t>
  </si>
  <si>
    <t>No</t>
  </si>
  <si>
    <r>
      <t>1</t>
    </r>
    <r>
      <rPr>
        <sz val="11"/>
        <color theme="1"/>
        <rFont val="Aptos Narrow"/>
        <family val="2"/>
        <scheme val="minor"/>
      </rPr>
      <t xml:space="preserve"> → Improving</t>
    </r>
  </si>
  <si>
    <r>
      <t>3</t>
    </r>
    <r>
      <rPr>
        <sz val="11"/>
        <color theme="1"/>
        <rFont val="Aptos Narrow"/>
        <family val="2"/>
        <scheme val="minor"/>
      </rPr>
      <t xml:space="preserve"> → Deteriorating</t>
    </r>
  </si>
  <si>
    <r>
      <t>"Stable"</t>
    </r>
    <r>
      <rPr>
        <sz val="11"/>
        <color theme="1"/>
        <rFont val="Aptos Narrow"/>
        <family val="2"/>
        <scheme val="minor"/>
      </rPr>
      <t xml:space="preserve"> → No change</t>
    </r>
    <r>
      <rPr>
        <b/>
        <sz val="11"/>
        <color theme="1"/>
        <rFont val="Aptos Narrow"/>
        <family val="2"/>
        <scheme val="minor"/>
      </rPr>
      <t xml:space="preserve"> (0)</t>
    </r>
  </si>
  <si>
    <r>
      <t xml:space="preserve">From </t>
    </r>
    <r>
      <rPr>
        <b/>
        <sz val="11"/>
        <color theme="1"/>
        <rFont val="Aptos Narrow"/>
        <family val="2"/>
        <scheme val="minor"/>
      </rPr>
      <t>Score_Current (0–4)</t>
    </r>
    <r>
      <rPr>
        <sz val="11"/>
        <color theme="1"/>
        <rFont val="Aptos Narrow"/>
        <family val="2"/>
        <scheme val="minor"/>
      </rPr>
      <t>:</t>
    </r>
  </si>
  <si>
    <t>4–3 = Low</t>
  </si>
  <si>
    <t>2 = Medium</t>
  </si>
  <si>
    <t>1–0 = High</t>
  </si>
  <si>
    <t>Reason: lower score means weaker governance, so higher risk.</t>
  </si>
  <si>
    <r>
      <t xml:space="preserve">Column B — </t>
    </r>
    <r>
      <rPr>
        <b/>
        <i/>
        <sz val="13.5"/>
        <color theme="1"/>
        <rFont val="Aptos Narrow"/>
        <family val="2"/>
        <scheme val="minor"/>
      </rPr>
      <t>This Period</t>
    </r>
  </si>
  <si>
    <r>
      <t xml:space="preserve">Enter the </t>
    </r>
    <r>
      <rPr>
        <b/>
        <sz val="11"/>
        <color theme="1"/>
        <rFont val="Aptos Narrow"/>
        <family val="2"/>
        <scheme val="minor"/>
      </rPr>
      <t>number of items identified during the current review period</t>
    </r>
    <r>
      <rPr>
        <sz val="11"/>
        <color theme="1"/>
        <rFont val="Aptos Narrow"/>
        <family val="2"/>
        <scheme val="minor"/>
      </rPr>
      <t>.</t>
    </r>
  </si>
  <si>
    <t>Count incidents that occurred in this assessment period.</t>
  </si>
  <si>
    <t>Count near misses detected during the period.</t>
  </si>
  <si>
    <r>
      <t xml:space="preserve">Enter </t>
    </r>
    <r>
      <rPr>
        <b/>
        <sz val="11"/>
        <color theme="1"/>
        <rFont val="Aptos Narrow"/>
        <family val="2"/>
        <scheme val="minor"/>
      </rPr>
      <t>Yes</t>
    </r>
    <r>
      <rPr>
        <sz val="11"/>
        <color theme="1"/>
        <rFont val="Aptos Narrow"/>
        <family val="2"/>
        <scheme val="minor"/>
      </rPr>
      <t xml:space="preserve"> if </t>
    </r>
    <r>
      <rPr>
        <i/>
        <sz val="11"/>
        <color theme="1"/>
        <rFont val="Aptos Narrow"/>
        <family val="2"/>
        <scheme val="minor"/>
      </rPr>
      <t>any</t>
    </r>
    <r>
      <rPr>
        <sz val="11"/>
        <color theme="1"/>
        <rFont val="Aptos Narrow"/>
        <family val="2"/>
        <scheme val="minor"/>
      </rPr>
      <t xml:space="preserve"> regulatory issue occurred in the period; otherwise </t>
    </r>
    <r>
      <rPr>
        <b/>
        <sz val="11"/>
        <color theme="1"/>
        <rFont val="Aptos Narrow"/>
        <family val="2"/>
        <scheme val="minor"/>
      </rPr>
      <t>No</t>
    </r>
    <r>
      <rPr>
        <sz val="11"/>
        <color theme="1"/>
        <rFont val="Aptos Narrow"/>
        <family val="2"/>
        <scheme val="minor"/>
      </rPr>
      <t>.</t>
    </r>
  </si>
  <si>
    <t>Count nonconformities identified during the period.</t>
  </si>
  <si>
    <r>
      <t xml:space="preserve">Column C — </t>
    </r>
    <r>
      <rPr>
        <b/>
        <i/>
        <sz val="13.5"/>
        <color theme="1"/>
        <rFont val="Aptos Narrow"/>
        <family val="2"/>
        <scheme val="minor"/>
      </rPr>
      <t>Open Items</t>
    </r>
  </si>
  <si>
    <r>
      <t xml:space="preserve">Enter the </t>
    </r>
    <r>
      <rPr>
        <b/>
        <sz val="11"/>
        <color theme="1"/>
        <rFont val="Aptos Narrow"/>
        <family val="2"/>
        <scheme val="minor"/>
      </rPr>
      <t>number of items that remain open at the end of the period</t>
    </r>
    <r>
      <rPr>
        <sz val="11"/>
        <color theme="1"/>
        <rFont val="Aptos Narrow"/>
        <family val="2"/>
        <scheme val="minor"/>
      </rPr>
      <t>.</t>
    </r>
  </si>
  <si>
    <r>
      <t xml:space="preserve">Includes items from </t>
    </r>
    <r>
      <rPr>
        <b/>
        <sz val="11"/>
        <color theme="1"/>
        <rFont val="Aptos Narrow"/>
        <family val="2"/>
        <scheme val="minor"/>
      </rPr>
      <t>previous periods</t>
    </r>
    <r>
      <rPr>
        <sz val="11"/>
        <color theme="1"/>
        <rFont val="Aptos Narrow"/>
        <family val="2"/>
        <scheme val="minor"/>
      </rPr>
      <t xml:space="preserve"> that are not yet closed</t>
    </r>
  </si>
  <si>
    <t>Includes items identified this period that are still open</t>
  </si>
  <si>
    <r>
      <t xml:space="preserve">Do </t>
    </r>
    <r>
      <rPr>
        <b/>
        <sz val="11"/>
        <color theme="1"/>
        <rFont val="Aptos Narrow"/>
        <family val="2"/>
        <scheme val="minor"/>
      </rPr>
      <t>not</t>
    </r>
    <r>
      <rPr>
        <sz val="11"/>
        <color theme="1"/>
        <rFont val="Aptos Narrow"/>
        <family val="2"/>
        <scheme val="minor"/>
      </rPr>
      <t xml:space="preserve"> include closed or formally accepted items</t>
    </r>
  </si>
  <si>
    <r>
      <t xml:space="preserve">For </t>
    </r>
    <r>
      <rPr>
        <b/>
        <sz val="11"/>
        <color theme="1"/>
        <rFont val="Aptos Narrow"/>
        <family val="2"/>
        <scheme val="minor"/>
      </rPr>
      <t>Regulatory issues (Yes/No)</t>
    </r>
    <r>
      <rPr>
        <sz val="11"/>
        <color theme="1"/>
        <rFont val="Aptos Narrow"/>
        <family val="2"/>
        <scheme val="minor"/>
      </rPr>
      <t>:</t>
    </r>
  </si>
  <si>
    <r>
      <t xml:space="preserve">Leave blank </t>
    </r>
    <r>
      <rPr>
        <b/>
        <sz val="11"/>
        <color theme="1"/>
        <rFont val="Aptos Narrow"/>
        <family val="2"/>
        <scheme val="minor"/>
      </rPr>
      <t>or</t>
    </r>
    <r>
      <rPr>
        <sz val="11"/>
        <color theme="1"/>
        <rFont val="Aptos Narrow"/>
        <family val="2"/>
        <scheme val="minor"/>
      </rPr>
      <t xml:space="preserve"> enter </t>
    </r>
    <r>
      <rPr>
        <b/>
        <sz val="11"/>
        <color theme="1"/>
        <rFont val="Aptos Narrow"/>
        <family val="2"/>
        <scheme val="minor"/>
      </rPr>
      <t>1</t>
    </r>
    <r>
      <rPr>
        <sz val="11"/>
        <color theme="1"/>
        <rFont val="Aptos Narrow"/>
        <family val="2"/>
        <scheme val="minor"/>
      </rPr>
      <t xml:space="preserve"> if still open</t>
    </r>
  </si>
  <si>
    <r>
      <t xml:space="preserve">Column D — </t>
    </r>
    <r>
      <rPr>
        <b/>
        <i/>
        <sz val="13.5"/>
        <color theme="1"/>
        <rFont val="Aptos Narrow"/>
        <family val="2"/>
        <scheme val="minor"/>
      </rPr>
      <t>Board Visibility</t>
    </r>
  </si>
  <si>
    <t>Do not edit.</t>
  </si>
  <si>
    <r>
      <t xml:space="preserve">This column is </t>
    </r>
    <r>
      <rPr>
        <b/>
        <sz val="11"/>
        <color theme="1"/>
        <rFont val="Aptos Narrow"/>
        <family val="2"/>
        <scheme val="minor"/>
      </rPr>
      <t>fixed explanatory text</t>
    </r>
    <r>
      <rPr>
        <sz val="11"/>
        <color theme="1"/>
        <rFont val="Aptos Narrow"/>
        <family val="2"/>
        <scheme val="minor"/>
      </rPr>
      <t xml:space="preserve"> that tells the board </t>
    </r>
    <r>
      <rPr>
        <b/>
        <sz val="11"/>
        <color theme="1"/>
        <rFont val="Aptos Narrow"/>
        <family val="2"/>
        <scheme val="minor"/>
      </rPr>
      <t>why the item matters</t>
    </r>
    <r>
      <rPr>
        <sz val="11"/>
        <color theme="1"/>
        <rFont val="Aptos Narrow"/>
        <family val="2"/>
        <scheme val="minor"/>
      </rPr>
      <t>.</t>
    </r>
  </si>
  <si>
    <t>What Column D means</t>
  </si>
  <si>
    <t>Major incidents must be escalated</t>
  </si>
  <si>
    <t>Early warning signals</t>
  </si>
  <si>
    <t>Regulatory issues</t>
  </si>
  <si>
    <t>Zero tolerance — any issue escalated</t>
  </si>
  <si>
    <t>Policy/control nonconformities</t>
  </si>
  <si>
    <t>Repetition indicates governance gaps</t>
  </si>
  <si>
    <r>
      <t xml:space="preserve">Think of Column D as the </t>
    </r>
    <r>
      <rPr>
        <b/>
        <sz val="11"/>
        <color theme="1"/>
        <rFont val="Aptos Narrow"/>
        <family val="2"/>
        <scheme val="minor"/>
      </rPr>
      <t>board’s lens</t>
    </r>
    <r>
      <rPr>
        <sz val="11"/>
        <color theme="1"/>
        <rFont val="Aptos Narrow"/>
        <family val="2"/>
        <scheme val="minor"/>
      </rPr>
      <t>, not data.</t>
    </r>
  </si>
  <si>
    <t>Key rule (important)</t>
  </si>
  <si>
    <t>B and C = data</t>
  </si>
  <si>
    <t>D = interpretation</t>
  </si>
  <si>
    <r>
      <t xml:space="preserve">Assessors </t>
    </r>
    <r>
      <rPr>
        <b/>
        <sz val="11"/>
        <color theme="1"/>
        <rFont val="Aptos Narrow"/>
        <family val="2"/>
        <scheme val="minor"/>
      </rPr>
      <t>never change Column D</t>
    </r>
    <r>
      <rPr>
        <sz val="11"/>
        <color theme="1"/>
        <rFont val="Aptos Narrow"/>
        <family val="2"/>
        <scheme val="minor"/>
      </rPr>
      <t>.</t>
    </r>
  </si>
  <si>
    <t>How this table should be filled (simple rules)</t>
  </si>
  <si>
    <t>Row: High-risk AI mitigation plan</t>
  </si>
  <si>
    <r>
      <t>Owner</t>
    </r>
    <r>
      <rPr>
        <sz val="11"/>
        <color theme="1"/>
        <rFont val="Aptos Narrow"/>
        <family val="2"/>
        <scheme val="minor"/>
      </rPr>
      <t>: accountable executive or role</t>
    </r>
  </si>
  <si>
    <r>
      <t>Status</t>
    </r>
    <r>
      <rPr>
        <sz val="11"/>
        <color theme="1"/>
        <rFont val="Aptos Narrow"/>
        <family val="2"/>
        <scheme val="minor"/>
      </rPr>
      <t>:</t>
    </r>
  </si>
  <si>
    <t>On Track → plan approved &amp; progressing</t>
  </si>
  <si>
    <t>Delayed → milestones missed</t>
  </si>
  <si>
    <r>
      <t>Board Concern</t>
    </r>
    <r>
      <rPr>
        <sz val="11"/>
        <color theme="1"/>
        <rFont val="Aptos Narrow"/>
        <family val="2"/>
        <scheme val="minor"/>
      </rPr>
      <t>: fixed text (do not change)</t>
    </r>
  </si>
  <si>
    <t>Row: Residual AI risk accepted (Yes/No)</t>
  </si>
  <si>
    <r>
      <t>Owner</t>
    </r>
    <r>
      <rPr>
        <sz val="11"/>
        <color theme="1"/>
        <rFont val="Aptos Narrow"/>
        <family val="2"/>
        <scheme val="minor"/>
      </rPr>
      <t>: board / risk owner</t>
    </r>
  </si>
  <si>
    <t>On Track → acceptance documented</t>
  </si>
  <si>
    <t>Delayed → acceptance pending</t>
  </si>
  <si>
    <r>
      <t>Yes/No</t>
    </r>
    <r>
      <rPr>
        <sz val="11"/>
        <color theme="1"/>
        <rFont val="Aptos Narrow"/>
        <family val="2"/>
        <scheme val="minor"/>
      </rPr>
      <t xml:space="preserve"> goes in </t>
    </r>
    <r>
      <rPr>
        <b/>
        <sz val="11"/>
        <color theme="1"/>
        <rFont val="Aptos Narrow"/>
        <family val="2"/>
        <scheme val="minor"/>
      </rPr>
      <t>Action cell</t>
    </r>
    <r>
      <rPr>
        <sz val="11"/>
        <color theme="1"/>
        <rFont val="Aptos Narrow"/>
        <family val="2"/>
        <scheme val="minor"/>
      </rPr>
      <t xml:space="preserve"> as text (this is fine)</t>
    </r>
  </si>
  <si>
    <t>Row: Control enhancements required</t>
  </si>
  <si>
    <r>
      <t>Owner</t>
    </r>
    <r>
      <rPr>
        <sz val="11"/>
        <color theme="1"/>
        <rFont val="Aptos Narrow"/>
        <family val="2"/>
        <scheme val="minor"/>
      </rPr>
      <t>: management role</t>
    </r>
  </si>
  <si>
    <t>On Track → enhancements funded &amp; underway</t>
  </si>
  <si>
    <t>Delayed → gaps remain</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</si>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</sst>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8"/>
      <color theme="1"/>
      <name val="Aptos Narrow"/>
      <family val="2"/>
      <scheme val="minor"/>
    </font>
    <font>
      <b/>
      <sz val="24"/>
      <color theme="1"/>
      <name val="Aptos Narrow"/>
      <family val="2"/>
      <scheme val="minor"/>
    </font>
    <font>
      <b/>
      <sz val="13.5"/>
      <color theme="1"/>
      <name val="Aptos Narrow"/>
      <family val="2"/>
      <scheme val="minor"/>
    </font>
    <font>
      <b/>
      <i/>
      <sz val="13.5"/>
      <color theme="1"/>
      <name val="Aptos Narrow"/>
      <family val="2"/>
      <scheme val="minor"/>
    </font>
    <font>
      <i/>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2"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3" fillId="0" borderId="0" xfId="0" applyFont="1" applyAlignment="1">
      <alignment vertical="center"/>
    </xf>
    <xf numFmtId="0" fontId="1" fillId="0" borderId="0" xfId="0" applyFont="1"/>
    <xf numFmtId="0" fontId="1" fillId="0" borderId="0" xfId="0" applyFont="1" applyAlignment="1">
      <alignment horizontal="left" vertical="center" indent="1"/>
    </xf>
    <xf numFmtId="0" fontId="4" fillId="0" borderId="0" xfId="0" applyFont="1" applyAlignment="1">
      <alignment vertical="center"/>
    </xf>
    <xf numFmtId="0" fontId="1" fillId="0" borderId="1" xfId="0" applyFont="1" applyBorder="1" applyAlignment="1">
      <alignment horizontal="center" vertical="center" wrapText="1"/>
    </xf>
    <xf numFmtId="0" fontId="0" fillId="0" borderId="1" xfId="0" applyBorder="1" applyAlignment="1">
      <alignment vertical="center" wrapText="1"/>
    </xf>
  </cellXfs>
  <cellStyles count="1">
    <cellStyle name="Normal" xfId="0" builtinId="0"/>
  </cellStyles>
  <dxfs count="11">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FF00"/>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02C19E-85C6-46E4-A39B-391087BFA0B6}" name="tblMetrics" displayName="tblMetrics" ref="A1:D6" totalsRowShown="0" headerRowDxfId="10" dataDxfId="9">
  <autoFilter ref="A1:D6" xr:uid="{5902C19E-85C6-46E4-A39B-391087BFA0B6}"/>
  <tableColumns count="4">
    <tableColumn id="1" xr3:uid="{6B3E7E3F-92A5-49B1-A2F0-2634A49BF81C}" name="Metric" dataDxfId="8"/>
    <tableColumn id="2" xr3:uid="{8D05A122-5AC4-4E12-A0D3-A05A0EC4378F}" name="Value_Current" dataDxfId="7"/>
    <tableColumn id="3" xr3:uid="{6642C4CF-F566-48D3-8C99-51EBF69FF286}" name="Value_Prior" dataDxfId="6"/>
    <tableColumn id="4" xr3:uid="{F6954457-8EEE-4F2F-AE5E-A622AA39AACB}" name="Notes (Optional)"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7C8CD-A006-48DE-90AC-6C58796491D4}">
  <dimension ref="A1:H9"/>
  <sheetViews>
    <sheetView workbookViewId="0">
      <pane xSplit="1" ySplit="1" topLeftCell="B2" activePane="bottomRight" state="frozen"/>
      <selection pane="topRight" activeCell="B1" sqref="B1"/>
      <selection pane="bottomLeft" activeCell="A2" sqref="A2"/>
      <selection pane="bottomRight" activeCell="E2" sqref="E2"/>
    </sheetView>
  </sheetViews>
  <sheetFormatPr defaultColWidth="22.1796875" defaultRowHeight="14.5" x14ac:dyDescent="0.35"/>
  <cols>
    <col min="4" max="4" width="35.81640625" customWidth="1"/>
    <col min="5" max="5" width="30.08984375" customWidth="1"/>
  </cols>
  <sheetData>
    <row r="1" spans="1:8" ht="29" x14ac:dyDescent="0.35">
      <c r="A1" s="8" t="s">
        <v>295</v>
      </c>
      <c r="B1" s="1" t="s">
        <v>0</v>
      </c>
      <c r="C1" s="1" t="s">
        <v>1</v>
      </c>
      <c r="D1" s="1" t="s">
        <v>2</v>
      </c>
      <c r="E1" s="1" t="s">
        <v>3</v>
      </c>
      <c r="F1" s="1" t="s">
        <v>293</v>
      </c>
      <c r="G1" s="1" t="s">
        <v>294</v>
      </c>
      <c r="H1" s="1" t="s">
        <v>299</v>
      </c>
    </row>
    <row r="2" spans="1:8" ht="275.5" x14ac:dyDescent="0.35">
      <c r="A2" s="3" t="s">
        <v>296</v>
      </c>
      <c r="B2" s="2" t="s">
        <v>4</v>
      </c>
      <c r="C2" s="2" t="s">
        <v>5</v>
      </c>
      <c r="D2" s="2" t="s">
        <v>18</v>
      </c>
      <c r="E2" s="2" t="s">
        <v>19</v>
      </c>
      <c r="F2">
        <v>4</v>
      </c>
      <c r="G2">
        <v>0</v>
      </c>
      <c r="H2" s="2" t="s">
        <v>353</v>
      </c>
    </row>
    <row r="3" spans="1:8" ht="333.5" x14ac:dyDescent="0.35">
      <c r="A3" s="3" t="s">
        <v>297</v>
      </c>
      <c r="B3" s="2" t="s">
        <v>17</v>
      </c>
      <c r="C3" s="2" t="s">
        <v>20</v>
      </c>
      <c r="D3" s="2" t="s">
        <v>21</v>
      </c>
      <c r="E3" s="2" t="s">
        <v>22</v>
      </c>
      <c r="F3">
        <v>3</v>
      </c>
      <c r="G3">
        <v>0</v>
      </c>
    </row>
    <row r="4" spans="1:8" ht="290" x14ac:dyDescent="0.35">
      <c r="A4" s="3" t="s">
        <v>6</v>
      </c>
      <c r="B4" s="2" t="s">
        <v>7</v>
      </c>
      <c r="C4" s="2" t="s">
        <v>23</v>
      </c>
      <c r="D4" s="2" t="s">
        <v>24</v>
      </c>
      <c r="E4" s="2" t="s">
        <v>25</v>
      </c>
      <c r="F4">
        <v>1</v>
      </c>
      <c r="G4">
        <v>0</v>
      </c>
      <c r="H4" s="2" t="s">
        <v>300</v>
      </c>
    </row>
    <row r="5" spans="1:8" ht="304.5" x14ac:dyDescent="0.35">
      <c r="A5" s="3" t="s">
        <v>8</v>
      </c>
      <c r="B5" s="2" t="s">
        <v>9</v>
      </c>
      <c r="C5" s="2" t="s">
        <v>26</v>
      </c>
      <c r="D5" s="2" t="s">
        <v>27</v>
      </c>
      <c r="E5" s="2" t="s">
        <v>28</v>
      </c>
      <c r="F5">
        <v>4</v>
      </c>
      <c r="G5">
        <v>0</v>
      </c>
    </row>
    <row r="6" spans="1:8" ht="290" x14ac:dyDescent="0.35">
      <c r="A6" s="3" t="s">
        <v>10</v>
      </c>
      <c r="B6" s="2" t="s">
        <v>11</v>
      </c>
      <c r="C6" s="2" t="s">
        <v>29</v>
      </c>
      <c r="D6" s="2" t="s">
        <v>30</v>
      </c>
      <c r="E6" s="2" t="s">
        <v>31</v>
      </c>
      <c r="F6">
        <v>4</v>
      </c>
    </row>
    <row r="7" spans="1:8" ht="304.5" x14ac:dyDescent="0.35">
      <c r="A7" s="3" t="s">
        <v>12</v>
      </c>
      <c r="B7" s="2" t="s">
        <v>13</v>
      </c>
      <c r="C7" s="2" t="s">
        <v>32</v>
      </c>
      <c r="D7" s="2" t="s">
        <v>33</v>
      </c>
      <c r="E7" s="2" t="s">
        <v>34</v>
      </c>
      <c r="F7">
        <v>4</v>
      </c>
    </row>
    <row r="8" spans="1:8" ht="304.5" x14ac:dyDescent="0.35">
      <c r="A8" s="3" t="s">
        <v>14</v>
      </c>
      <c r="B8" s="2" t="s">
        <v>15</v>
      </c>
      <c r="C8" s="2" t="s">
        <v>35</v>
      </c>
      <c r="D8" s="2" t="s">
        <v>36</v>
      </c>
      <c r="E8" s="2" t="s">
        <v>37</v>
      </c>
      <c r="F8">
        <v>3</v>
      </c>
    </row>
    <row r="9" spans="1:8" ht="348" x14ac:dyDescent="0.35">
      <c r="A9" s="3" t="s">
        <v>16</v>
      </c>
      <c r="B9" s="2" t="s">
        <v>17</v>
      </c>
      <c r="C9" s="2" t="s">
        <v>38</v>
      </c>
      <c r="D9" s="2" t="s">
        <v>39</v>
      </c>
      <c r="E9" s="2" t="s">
        <v>40</v>
      </c>
    </row>
  </sheetData>
  <dataValidations count="2">
    <dataValidation type="list" allowBlank="1" showInputMessage="1" showErrorMessage="1" error="Only scores 0–4 are allowed_x000a_" promptTitle="Score_Current (0–4)" prompt="0 = Not implemented_x000a_1 = Ad hoc_x000a_2 = Defined but weak_x000a_3 = Implemented_x000a_4 = Effective_x000a_" sqref="F2:G9" xr:uid="{C1A80153-E0F5-47A0-87CC-FCC5F5107B0C}">
      <formula1>"0,1,2,3,4"</formula1>
    </dataValidation>
    <dataValidation type="list" allowBlank="1" showInputMessage="1" showErrorMessage="1" sqref="H2:H9" xr:uid="{FD26EDE4-1D56-4D51-9883-F397460BEAA4}">
      <formula1>"Yes, No"</formula1>
    </dataValidation>
  </dataValidations>
  <pageMargins left="0.7" right="0.7" top="0.75" bottom="0.75" header="0.3" footer="0.3"/>
  <headerFooter>
    <oddHeader>&amp;C&amp;"Aptos"&amp;11&amp;K000000 Internal&amp;1#_x000D_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0F8C8-A995-4FC6-B8E2-8F0D3727845E}">
  <dimension ref="A1:D5"/>
  <sheetViews>
    <sheetView workbookViewId="0">
      <selection activeCell="B5" sqref="B5"/>
    </sheetView>
  </sheetViews>
  <sheetFormatPr defaultRowHeight="14.5" x14ac:dyDescent="0.35"/>
  <cols>
    <col min="1" max="1" width="26.26953125" customWidth="1"/>
    <col min="2" max="2" width="22" customWidth="1"/>
    <col min="3" max="3" width="16.36328125" customWidth="1"/>
    <col min="4" max="4" width="19.36328125" customWidth="1"/>
  </cols>
  <sheetData>
    <row r="1" spans="1:4" x14ac:dyDescent="0.35">
      <c r="A1" s="1" t="s">
        <v>41</v>
      </c>
      <c r="B1" s="1" t="s">
        <v>286</v>
      </c>
      <c r="C1" s="1" t="s">
        <v>287</v>
      </c>
      <c r="D1" s="1" t="s">
        <v>288</v>
      </c>
    </row>
    <row r="2" spans="1:4" x14ac:dyDescent="0.35">
      <c r="A2" s="2" t="s">
        <v>289</v>
      </c>
      <c r="B2" s="2">
        <v>10</v>
      </c>
      <c r="C2" s="2">
        <v>5</v>
      </c>
      <c r="D2" s="2"/>
    </row>
    <row r="3" spans="1:4" x14ac:dyDescent="0.35">
      <c r="A3" s="2" t="s">
        <v>290</v>
      </c>
      <c r="B3" s="2">
        <v>4</v>
      </c>
      <c r="C3" s="2">
        <v>1</v>
      </c>
      <c r="D3" s="2"/>
    </row>
    <row r="4" spans="1:4" x14ac:dyDescent="0.35">
      <c r="A4" s="2" t="s">
        <v>291</v>
      </c>
      <c r="B4" s="2">
        <v>7</v>
      </c>
      <c r="C4" s="2">
        <v>2</v>
      </c>
      <c r="D4" s="2"/>
    </row>
    <row r="5" spans="1:4" x14ac:dyDescent="0.35">
      <c r="A5" s="2" t="s">
        <v>292</v>
      </c>
      <c r="B5" s="2">
        <v>0</v>
      </c>
      <c r="C5" s="2">
        <v>0</v>
      </c>
      <c r="D5" s="2"/>
    </row>
  </sheetData>
  <pageMargins left="0.7" right="0.7" top="0.75" bottom="0.75" header="0.3" footer="0.3"/>
  <headerFooter>
    <oddHeader>&amp;C&amp;"Aptos"&amp;11&amp;K000000 Internal&amp;1#_x000D_</oddHead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487A0-7D04-4C74-820E-EA70F72D8C35}">
  <dimension ref="A1:D5"/>
  <sheetViews>
    <sheetView workbookViewId="0">
      <selection activeCell="C2" sqref="C2"/>
    </sheetView>
  </sheetViews>
  <sheetFormatPr defaultRowHeight="14.5" x14ac:dyDescent="0.35"/>
  <cols>
    <col min="1" max="1" width="22.81640625" customWidth="1"/>
    <col min="2" max="2" width="15.453125" customWidth="1"/>
    <col min="3" max="3" width="22.7265625" customWidth="1"/>
    <col min="4" max="4" width="17.54296875" customWidth="1"/>
  </cols>
  <sheetData>
    <row r="1" spans="1:4" x14ac:dyDescent="0.35">
      <c r="A1" s="1" t="s">
        <v>41</v>
      </c>
      <c r="B1" s="1" t="s">
        <v>42</v>
      </c>
      <c r="C1" s="1" t="s">
        <v>43</v>
      </c>
      <c r="D1" s="1" t="s">
        <v>44</v>
      </c>
    </row>
    <row r="2" spans="1:4" ht="29" x14ac:dyDescent="0.35">
      <c r="A2" s="2" t="s">
        <v>45</v>
      </c>
      <c r="B2" s="2">
        <f>_xlfn.XLOOKUP("Total_AI_Systems", tblMetrics[Metric], tblMetrics[Value_Current], "")</f>
        <v>10</v>
      </c>
      <c r="C2" s="2">
        <f>_xlfn.LET(
_xlpm.cur, _xlfn.XLOOKUP("Total_AI_Systems", tblMetrics[Metric], tblMetrics[Value_Current], ""),
_xlpm.pri, _xlfn.XLOOKUP("Total_AI_Systems", tblMetrics[Metric], tblMetrics[Value_Prior], ""),
IF(_xlpm.pri="",0, IF(_xlpm.cur&lt;_xlpm.pri,1, IF(_xlpm.cur=_xlpm.pri,2,3)))
)</f>
        <v>3</v>
      </c>
      <c r="D2" s="2" t="s">
        <v>46</v>
      </c>
    </row>
    <row r="3" spans="1:4" ht="29" x14ac:dyDescent="0.35">
      <c r="A3" s="2" t="s">
        <v>47</v>
      </c>
      <c r="B3" s="2">
        <f>_xlfn.XLOOKUP("New_AI_Use_Cases", tblMetrics[Metric], tblMetrics[Value_Current], "")</f>
        <v>4</v>
      </c>
      <c r="C3" s="2">
        <f>_xlfn.LET(
_xlpm.cur, _xlfn.XLOOKUP("New_AI_Use_Cases", tblMetrics[Metric], tblMetrics[Value_Current], ""),
_xlpm.pri, _xlfn.XLOOKUP("New_AI_Use_Cases", tblMetrics[Metric], tblMetrics[Value_Prior], ""),
IF(_xlpm.pri="",0, IF(_xlpm.cur&lt;_xlpm.pri,1, IF(_xlpm.cur=_xlpm.pri,2,3)))
)</f>
        <v>3</v>
      </c>
      <c r="D3" s="2" t="s">
        <v>48</v>
      </c>
    </row>
    <row r="4" spans="1:4" ht="29" x14ac:dyDescent="0.35">
      <c r="A4" s="2" t="s">
        <v>49</v>
      </c>
      <c r="B4" s="2">
        <f>_xlfn.XLOOKUP("High_Risk_AI", tblMetrics[Metric], tblMetrics[Value_Current], "")</f>
        <v>7</v>
      </c>
      <c r="C4" s="2">
        <f>_xlfn.LET(
_xlpm.cur, _xlfn.XLOOKUP("High_Risk_AI", tblMetrics[Metric], tblMetrics[Value_Current], ""),
_xlpm.pri, _xlfn.XLOOKUP("High_Risk_AI", tblMetrics[Metric], tblMetrics[Value_Prior], ""),
IF(_xlpm.pri="",0, IF(_xlpm.cur&lt;_xlpm.pri,1, IF(_xlpm.cur=_xlpm.pri,2,3)))
)</f>
        <v>3</v>
      </c>
      <c r="D4" s="2" t="s">
        <v>50</v>
      </c>
    </row>
    <row r="5" spans="1:4" ht="43.5" x14ac:dyDescent="0.35">
      <c r="A5" s="2" t="s">
        <v>51</v>
      </c>
      <c r="B5" s="2">
        <f>_xlfn.XLOOKUP("Outside_Approved_Scope", tblMetrics[Metric], tblMetrics[Value_Current], "")</f>
        <v>0</v>
      </c>
      <c r="C5" s="2">
        <f>_xlfn.LET(
_xlpm.cur, _xlfn.XLOOKUP("Outside_Approved_Scope", tblMetrics[Metric], tblMetrics[Value_Current], ""),
_xlpm.pri, _xlfn.XLOOKUP("Outside_Approved_Scope", tblMetrics[Metric], tblMetrics[Value_Prior], ""),
IF(_xlpm.pri="",0, IF(_xlpm.cur&lt;_xlpm.pri,1, IF(_xlpm.cur=_xlpm.pri,2,3)))
)</f>
        <v>2</v>
      </c>
      <c r="D5" s="2" t="s">
        <v>52</v>
      </c>
    </row>
  </sheetData>
  <pageMargins left="0.7" right="0.7" top="0.75" bottom="0.75" header="0.3" footer="0.3"/>
  <headerFooter>
    <oddHeader>&amp;C&amp;"Aptos"&amp;11&amp;K000000 Internal&amp;1#_x000D_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BC097-26C0-4F1F-9917-8A1CE95A98BD}">
  <dimension ref="A1:H18"/>
  <sheetViews>
    <sheetView workbookViewId="0">
      <selection activeCell="B2" sqref="B2"/>
    </sheetView>
  </sheetViews>
  <sheetFormatPr defaultColWidth="24.36328125" defaultRowHeight="14.5" x14ac:dyDescent="0.35"/>
  <sheetData>
    <row r="1" spans="1:8" x14ac:dyDescent="0.35">
      <c r="A1" s="1" t="s">
        <v>63</v>
      </c>
      <c r="B1" s="1" t="s">
        <v>64</v>
      </c>
      <c r="C1" s="1" t="s">
        <v>298</v>
      </c>
      <c r="D1" s="1" t="s">
        <v>65</v>
      </c>
    </row>
    <row r="2" spans="1:8" ht="29" x14ac:dyDescent="0.35">
      <c r="A2" s="2" t="s">
        <v>66</v>
      </c>
      <c r="B2" s="2" t="str">
        <f>IFERROR(
IF(VALUE(INDEX('Scoring Matrix'!F:F, MATCH("D1 –*", 'Scoring Matrix'!A:A, 0)))&gt;=4,"Green",
IF(VALUE(INDEX('Scoring Matrix'!F:F, MATCH("D1 –*", 'Scoring Matrix'!A:A, 0)))=3,"Amber","Red")),
"")</f>
        <v>Red</v>
      </c>
      <c r="C2" s="2">
        <f>IF(('Scoring Matrix'!F4-'Scoring Matrix'!G4)&gt;0,1,IF(('Scoring Matrix'!F4-'Scoring Matrix'!G4)&lt;0,3,2))</f>
        <v>1</v>
      </c>
      <c r="D2" s="2" t="s">
        <v>67</v>
      </c>
      <c r="H2" t="str">
        <f>_xlfn.XLOOKUP("D1",'Scoring Matrix'!A:A,'Scoring Matrix'!F:F,"")</f>
        <v/>
      </c>
    </row>
    <row r="3" spans="1:8" ht="29" x14ac:dyDescent="0.35">
      <c r="A3" s="2" t="s">
        <v>68</v>
      </c>
      <c r="B3" s="2" t="str">
        <f>IFERROR(
IF(VALUE(INDEX('Scoring Matrix'!F:F, MATCH("D1 –*", 'Scoring Matrix'!A:A, 0)))&gt;=4,"Green",
IF(VALUE(INDEX('Scoring Matrix'!F:F, MATCH("D1 –*", 'Scoring Matrix'!A:A, 0)))=3,"Amber","Red")),
"")</f>
        <v>Red</v>
      </c>
      <c r="C3" s="2">
        <f>IF(('Scoring Matrix'!F5-'Scoring Matrix'!G5)&gt;0,1,IF(('Scoring Matrix'!F5-'Scoring Matrix'!G5)&lt;0,3,2))</f>
        <v>1</v>
      </c>
      <c r="D3" s="2" t="s">
        <v>69</v>
      </c>
      <c r="H3" t="str">
        <f>_xlfn.XLOOKUP("D2",'Scoring Matrix'!A:A,'Scoring Matrix'!F:F,"")</f>
        <v/>
      </c>
    </row>
    <row r="4" spans="1:8" ht="29" x14ac:dyDescent="0.35">
      <c r="A4" s="2" t="s">
        <v>70</v>
      </c>
      <c r="B4" s="2" t="str">
        <f>IFERROR(
IF(VALUE(INDEX('Scoring Matrix'!F:F, MATCH("D1 –*", 'Scoring Matrix'!A:A, 0)))&gt;=4,"Green",
IF(VALUE(INDEX('Scoring Matrix'!F:F, MATCH("D1 –*", 'Scoring Matrix'!A:A, 0)))=3,"Amber","Red")),
"")</f>
        <v>Red</v>
      </c>
      <c r="C4" s="2">
        <f>IF(('Scoring Matrix'!F6-'Scoring Matrix'!G6)&gt;0,1,IF(('Scoring Matrix'!F6-'Scoring Matrix'!G6)&lt;0,3,2))</f>
        <v>1</v>
      </c>
      <c r="D4" s="2" t="s">
        <v>71</v>
      </c>
      <c r="H4" t="str">
        <f>_xlfn.XLOOKUP("D1",'Scoring Matrix'!A:A,'Scoring Matrix'!G:G,"")</f>
        <v/>
      </c>
    </row>
    <row r="5" spans="1:8" ht="29" x14ac:dyDescent="0.35">
      <c r="A5" s="2" t="s">
        <v>72</v>
      </c>
      <c r="B5" s="2" t="str">
        <f>IFERROR(INDEX('Scoring Matrix'!H:H, MATCH("D1 –*", 'Scoring Matrix'!A:A, 0)),"")</f>
        <v>No</v>
      </c>
      <c r="C5" s="2">
        <f>IF(
ISBLANK('Scoring Matrix'!G5),
0,
IF(
AND('Scoring Matrix'!G5="Yes",'Scoring Matrix'!H5="No"),
1,
IF(
'Scoring Matrix'!G5='Scoring Matrix'!H5,
2,
3
))
)</f>
        <v>2</v>
      </c>
      <c r="D5" s="2" t="s">
        <v>73</v>
      </c>
      <c r="H5" t="str">
        <f>_xlfn.XLOOKUP("D2",'Scoring Matrix'!A:A,'Scoring Matrix'!G:G,"")</f>
        <v/>
      </c>
    </row>
    <row r="10" spans="1:8" x14ac:dyDescent="0.35">
      <c r="A10" t="s">
        <v>298</v>
      </c>
    </row>
    <row r="11" spans="1:8" x14ac:dyDescent="0.35">
      <c r="A11" s="8" t="s">
        <v>301</v>
      </c>
    </row>
    <row r="13" spans="1:8" x14ac:dyDescent="0.35">
      <c r="A13" s="8" t="s">
        <v>302</v>
      </c>
    </row>
    <row r="15" spans="1:8" x14ac:dyDescent="0.35">
      <c r="A15" s="8" t="s">
        <v>303</v>
      </c>
    </row>
    <row r="16" spans="1:8" x14ac:dyDescent="0.35">
      <c r="A16" s="8"/>
    </row>
    <row r="18" spans="1:1" x14ac:dyDescent="0.35">
      <c r="A18" s="8"/>
    </row>
  </sheetData>
  <conditionalFormatting sqref="B2:B4">
    <cfRule type="cellIs" dxfId="4" priority="1" operator="equal">
      <formula>"Amber"</formula>
    </cfRule>
    <cfRule type="cellIs" dxfId="3" priority="2" operator="equal">
      <formula>"Red"</formula>
    </cfRule>
    <cfRule type="cellIs" dxfId="2" priority="5" operator="equal">
      <formula>"Green"</formula>
    </cfRule>
  </conditionalFormatting>
  <conditionalFormatting sqref="B5">
    <cfRule type="cellIs" dxfId="1" priority="3" operator="equal">
      <formula>"Yes"</formula>
    </cfRule>
    <cfRule type="cellIs" dxfId="0" priority="4" operator="equal">
      <formula>"No"</formula>
    </cfRule>
  </conditionalFormatting>
  <pageMargins left="0.7" right="0.7" top="0.75" bottom="0.75" header="0.3" footer="0.3"/>
  <headerFooter>
    <oddHeader>&amp;C&amp;"Aptos"&amp;11&amp;K000000 Internal&amp;1#_x000D_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29587-5AD2-4191-AE27-B45B84F77DF7}">
  <dimension ref="A1:C19"/>
  <sheetViews>
    <sheetView workbookViewId="0">
      <selection activeCell="C2" sqref="C2"/>
    </sheetView>
  </sheetViews>
  <sheetFormatPr defaultColWidth="18.81640625" defaultRowHeight="14.5" x14ac:dyDescent="0.35"/>
  <cols>
    <col min="1" max="1" width="27.1796875" customWidth="1"/>
  </cols>
  <sheetData>
    <row r="1" spans="1:3" ht="29" x14ac:dyDescent="0.35">
      <c r="A1" s="1" t="s">
        <v>74</v>
      </c>
      <c r="B1" s="1" t="s">
        <v>75</v>
      </c>
      <c r="C1" s="1" t="s">
        <v>76</v>
      </c>
    </row>
    <row r="2" spans="1:3" x14ac:dyDescent="0.35">
      <c r="A2" s="2" t="s">
        <v>77</v>
      </c>
      <c r="B2" s="2" t="str">
        <f>IF('Scoring Matrix'!F2&gt;=3,"Low",IF('Scoring Matrix'!F2=2,"Med","High"))</f>
        <v>Low</v>
      </c>
      <c r="C2" s="2">
        <f>IF(('Scoring Matrix'!F2-'Scoring Matrix'!G2)&gt;0,1,IF(('Scoring Matrix'!F2-'Scoring Matrix'!G2)=0,2,3))</f>
        <v>1</v>
      </c>
    </row>
    <row r="3" spans="1:3" x14ac:dyDescent="0.35">
      <c r="A3" s="2" t="s">
        <v>78</v>
      </c>
      <c r="B3" s="2" t="str">
        <f>IF('Scoring Matrix'!F2&gt;=3,"Low",IF('Scoring Matrix'!F2=2,"Med","High"))</f>
        <v>Low</v>
      </c>
      <c r="C3" s="2">
        <f>IF(('Scoring Matrix'!F2-'Scoring Matrix'!G2)&gt;0,1,IF(('Scoring Matrix'!F2-'Scoring Matrix'!G2)=0,2,3))</f>
        <v>1</v>
      </c>
    </row>
    <row r="4" spans="1:3" x14ac:dyDescent="0.35">
      <c r="A4" s="2" t="s">
        <v>79</v>
      </c>
      <c r="B4" s="2" t="str">
        <f>IF('Scoring Matrix'!F2&gt;=3,"Low",IF('Scoring Matrix'!F2=2,"Med","High"))</f>
        <v>Low</v>
      </c>
      <c r="C4" s="2">
        <f>IF(('Scoring Matrix'!F2-'Scoring Matrix'!G2)&gt;0,1,IF(('Scoring Matrix'!F2-'Scoring Matrix'!G2)=0,2,3))</f>
        <v>1</v>
      </c>
    </row>
    <row r="5" spans="1:3" ht="29" x14ac:dyDescent="0.35">
      <c r="A5" s="2" t="s">
        <v>80</v>
      </c>
      <c r="B5" s="2" t="str">
        <f>IF('Scoring Matrix'!F3&gt;=3,"Low",IF('Scoring Matrix'!F3=2,"Med","High"))</f>
        <v>Low</v>
      </c>
      <c r="C5" s="2">
        <f>IF(('Scoring Matrix'!F3-'Scoring Matrix'!G3)&gt;0,1,IF(('Scoring Matrix'!F3-'Scoring Matrix'!G3)=0,2,3))</f>
        <v>1</v>
      </c>
    </row>
    <row r="6" spans="1:3" x14ac:dyDescent="0.35">
      <c r="A6" s="2" t="s">
        <v>81</v>
      </c>
      <c r="B6" s="2" t="str">
        <f>IF('Scoring Matrix'!F3&gt;=3,"Low",IF('Scoring Matrix'!F3=2,"Med","High"))</f>
        <v>Low</v>
      </c>
      <c r="C6" s="2">
        <f>IF(('Scoring Matrix'!F3-'Scoring Matrix'!G3)&gt;0,1,IF(('Scoring Matrix'!F3-'Scoring Matrix'!G3)=0,2,3))</f>
        <v>1</v>
      </c>
    </row>
    <row r="11" spans="1:3" x14ac:dyDescent="0.35">
      <c r="A11" t="s">
        <v>304</v>
      </c>
    </row>
    <row r="12" spans="1:3" x14ac:dyDescent="0.35">
      <c r="A12" s="5"/>
    </row>
    <row r="13" spans="1:3" x14ac:dyDescent="0.35">
      <c r="A13" s="9" t="s">
        <v>305</v>
      </c>
    </row>
    <row r="14" spans="1:3" x14ac:dyDescent="0.35">
      <c r="A14" s="5"/>
    </row>
    <row r="15" spans="1:3" x14ac:dyDescent="0.35">
      <c r="A15" s="9" t="s">
        <v>306</v>
      </c>
    </row>
    <row r="16" spans="1:3" x14ac:dyDescent="0.35">
      <c r="A16" s="5"/>
    </row>
    <row r="17" spans="1:1" x14ac:dyDescent="0.35">
      <c r="A17" s="9" t="s">
        <v>307</v>
      </c>
    </row>
    <row r="19" spans="1:1" x14ac:dyDescent="0.35">
      <c r="A19" t="s">
        <v>308</v>
      </c>
    </row>
  </sheetData>
  <pageMargins left="0.7" right="0.7" top="0.75" bottom="0.75" header="0.3" footer="0.3"/>
  <headerFooter>
    <oddHeader>&amp;C&amp;"Aptos"&amp;11&amp;K000000 Internal&amp;1#_x000D_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D3EB7-3433-4091-939C-73227AD7B805}">
  <dimension ref="A1:D5"/>
  <sheetViews>
    <sheetView workbookViewId="0">
      <selection activeCell="B2" sqref="B2"/>
    </sheetView>
  </sheetViews>
  <sheetFormatPr defaultColWidth="17.6328125" defaultRowHeight="14.5" x14ac:dyDescent="0.35"/>
  <sheetData>
    <row r="1" spans="1:4" ht="29" x14ac:dyDescent="0.35">
      <c r="A1" s="1" t="s">
        <v>82</v>
      </c>
      <c r="B1" s="1" t="s">
        <v>64</v>
      </c>
      <c r="C1" s="1" t="s">
        <v>83</v>
      </c>
      <c r="D1" s="1" t="s">
        <v>84</v>
      </c>
    </row>
    <row r="2" spans="1:4" ht="29" x14ac:dyDescent="0.35">
      <c r="A2" s="2" t="s">
        <v>85</v>
      </c>
      <c r="B2" s="2" t="str">
        <f>IF('Scoring Matrix'!F7&gt;=4,"Green",IF('Scoring Matrix'!F7=3,"Amber","Red"))</f>
        <v>Green</v>
      </c>
      <c r="C2" s="2"/>
      <c r="D2" s="2" t="s">
        <v>86</v>
      </c>
    </row>
    <row r="3" spans="1:4" ht="29" x14ac:dyDescent="0.35">
      <c r="A3" s="2" t="s">
        <v>87</v>
      </c>
      <c r="B3" s="2" t="str">
        <f>IF('Scoring Matrix'!F7&gt;=4,"Green",IF('Scoring Matrix'!F7=3,"Amber","Red"))</f>
        <v>Green</v>
      </c>
      <c r="C3" s="2"/>
      <c r="D3" s="2" t="s">
        <v>88</v>
      </c>
    </row>
    <row r="4" spans="1:4" ht="29" x14ac:dyDescent="0.35">
      <c r="A4" s="2" t="s">
        <v>89</v>
      </c>
      <c r="B4" s="2" t="str">
        <f>IF('Scoring Matrix'!H7="Yes","Red","Green")</f>
        <v>Green</v>
      </c>
      <c r="C4" s="2" t="s">
        <v>90</v>
      </c>
      <c r="D4" s="2" t="s">
        <v>91</v>
      </c>
    </row>
    <row r="5" spans="1:4" ht="29" x14ac:dyDescent="0.35">
      <c r="A5" s="2" t="s">
        <v>92</v>
      </c>
      <c r="B5" s="2" t="str">
        <f>IF('Scoring Matrix'!F7&gt;=4,"Green",IF('Scoring Matrix'!F7=3,"Amber","Red"))</f>
        <v>Green</v>
      </c>
      <c r="C5" s="2"/>
      <c r="D5" s="2" t="s">
        <v>93</v>
      </c>
    </row>
  </sheetData>
  <pageMargins left="0.7" right="0.7" top="0.75" bottom="0.75" header="0.3" footer="0.3"/>
  <headerFooter>
    <oddHeader>&amp;C&amp;"Aptos"&amp;11&amp;K000000 Internal&amp;1#_x000D_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71C70-A15B-4979-A070-7A00E64933E1}">
  <dimension ref="A1:D50"/>
  <sheetViews>
    <sheetView topLeftCell="A39" workbookViewId="0">
      <selection activeCell="H9" sqref="H9"/>
    </sheetView>
  </sheetViews>
  <sheetFormatPr defaultRowHeight="14.5" x14ac:dyDescent="0.35"/>
  <cols>
    <col min="1" max="1" width="29.54296875" customWidth="1"/>
    <col min="2" max="2" width="13" customWidth="1"/>
    <col min="3" max="3" width="18.453125" customWidth="1"/>
    <col min="4" max="4" width="26.36328125" customWidth="1"/>
  </cols>
  <sheetData>
    <row r="1" spans="1:4" ht="29" x14ac:dyDescent="0.35">
      <c r="A1" s="11" t="s">
        <v>94</v>
      </c>
      <c r="B1" s="11" t="s">
        <v>95</v>
      </c>
      <c r="C1" s="11" t="s">
        <v>96</v>
      </c>
      <c r="D1" s="11" t="s">
        <v>97</v>
      </c>
    </row>
    <row r="2" spans="1:4" ht="29" x14ac:dyDescent="0.35">
      <c r="A2" s="12" t="s">
        <v>98</v>
      </c>
      <c r="B2" s="12"/>
      <c r="C2" s="12"/>
      <c r="D2" s="12" t="s">
        <v>99</v>
      </c>
    </row>
    <row r="3" spans="1:4" x14ac:dyDescent="0.35">
      <c r="A3" s="12" t="s">
        <v>100</v>
      </c>
      <c r="B3" s="12"/>
      <c r="C3" s="12"/>
      <c r="D3" s="12" t="s">
        <v>101</v>
      </c>
    </row>
    <row r="4" spans="1:4" ht="29" x14ac:dyDescent="0.35">
      <c r="A4" s="12" t="s">
        <v>102</v>
      </c>
      <c r="B4" s="12"/>
      <c r="C4" s="12"/>
      <c r="D4" s="12" t="s">
        <v>103</v>
      </c>
    </row>
    <row r="5" spans="1:4" ht="29" x14ac:dyDescent="0.35">
      <c r="A5" s="12" t="s">
        <v>104</v>
      </c>
      <c r="B5" s="12"/>
      <c r="C5" s="12"/>
      <c r="D5" s="12" t="s">
        <v>105</v>
      </c>
    </row>
    <row r="14" spans="1:4" ht="17.5" x14ac:dyDescent="0.35">
      <c r="A14" s="10" t="s">
        <v>309</v>
      </c>
      <c r="D14" s="10" t="s">
        <v>315</v>
      </c>
    </row>
    <row r="16" spans="1:4" x14ac:dyDescent="0.35">
      <c r="A16" t="s">
        <v>310</v>
      </c>
      <c r="D16" t="s">
        <v>316</v>
      </c>
    </row>
    <row r="17" spans="1:4" x14ac:dyDescent="0.35">
      <c r="A17" s="5"/>
      <c r="D17" s="5"/>
    </row>
    <row r="18" spans="1:4" x14ac:dyDescent="0.35">
      <c r="A18" s="9" t="s">
        <v>98</v>
      </c>
      <c r="D18" s="5" t="s">
        <v>317</v>
      </c>
    </row>
    <row r="19" spans="1:4" x14ac:dyDescent="0.35">
      <c r="A19" s="5" t="s">
        <v>311</v>
      </c>
      <c r="D19" s="5"/>
    </row>
    <row r="20" spans="1:4" x14ac:dyDescent="0.35">
      <c r="A20" s="5"/>
      <c r="D20" s="5" t="s">
        <v>318</v>
      </c>
    </row>
    <row r="21" spans="1:4" x14ac:dyDescent="0.35">
      <c r="A21" s="9" t="s">
        <v>100</v>
      </c>
      <c r="D21" s="5"/>
    </row>
    <row r="22" spans="1:4" x14ac:dyDescent="0.35">
      <c r="A22" s="5" t="s">
        <v>312</v>
      </c>
      <c r="D22" s="5" t="s">
        <v>319</v>
      </c>
    </row>
    <row r="23" spans="1:4" x14ac:dyDescent="0.35">
      <c r="A23" s="5"/>
    </row>
    <row r="24" spans="1:4" x14ac:dyDescent="0.35">
      <c r="A24" s="9" t="s">
        <v>102</v>
      </c>
      <c r="D24" t="s">
        <v>320</v>
      </c>
    </row>
    <row r="25" spans="1:4" x14ac:dyDescent="0.35">
      <c r="A25" s="5" t="s">
        <v>313</v>
      </c>
      <c r="D25" s="5"/>
    </row>
    <row r="26" spans="1:4" x14ac:dyDescent="0.35">
      <c r="A26" s="5"/>
      <c r="D26" s="5" t="s">
        <v>321</v>
      </c>
    </row>
    <row r="27" spans="1:4" x14ac:dyDescent="0.35">
      <c r="A27" s="9" t="s">
        <v>104</v>
      </c>
    </row>
    <row r="28" spans="1:4" x14ac:dyDescent="0.35">
      <c r="A28" s="5" t="s">
        <v>314</v>
      </c>
    </row>
    <row r="31" spans="1:4" ht="17.5" x14ac:dyDescent="0.35">
      <c r="A31" s="10" t="s">
        <v>322</v>
      </c>
    </row>
    <row r="33" spans="1:2" x14ac:dyDescent="0.35">
      <c r="A33" s="8" t="s">
        <v>323</v>
      </c>
    </row>
    <row r="34" spans="1:2" x14ac:dyDescent="0.35">
      <c r="A34" t="s">
        <v>324</v>
      </c>
    </row>
    <row r="36" spans="1:2" ht="29" x14ac:dyDescent="0.35">
      <c r="A36" s="1" t="s">
        <v>94</v>
      </c>
      <c r="B36" s="1" t="s">
        <v>325</v>
      </c>
    </row>
    <row r="37" spans="1:2" ht="43.5" x14ac:dyDescent="0.35">
      <c r="A37" s="2" t="s">
        <v>98</v>
      </c>
      <c r="B37" s="2" t="s">
        <v>326</v>
      </c>
    </row>
    <row r="38" spans="1:2" ht="29" x14ac:dyDescent="0.35">
      <c r="A38" s="2" t="s">
        <v>100</v>
      </c>
      <c r="B38" s="2" t="s">
        <v>327</v>
      </c>
    </row>
    <row r="39" spans="1:2" ht="43.5" x14ac:dyDescent="0.35">
      <c r="A39" s="2" t="s">
        <v>328</v>
      </c>
      <c r="B39" s="2" t="s">
        <v>329</v>
      </c>
    </row>
    <row r="40" spans="1:2" ht="58" x14ac:dyDescent="0.35">
      <c r="A40" s="2" t="s">
        <v>330</v>
      </c>
      <c r="B40" s="2" t="s">
        <v>331</v>
      </c>
    </row>
    <row r="42" spans="1:2" x14ac:dyDescent="0.35">
      <c r="A42" t="s">
        <v>332</v>
      </c>
    </row>
    <row r="44" spans="1:2" ht="23.5" x14ac:dyDescent="0.35">
      <c r="A44" s="4" t="s">
        <v>333</v>
      </c>
    </row>
    <row r="45" spans="1:2" x14ac:dyDescent="0.35">
      <c r="A45" s="5"/>
    </row>
    <row r="46" spans="1:2" x14ac:dyDescent="0.35">
      <c r="A46" s="9" t="s">
        <v>334</v>
      </c>
    </row>
    <row r="47" spans="1:2" x14ac:dyDescent="0.35">
      <c r="A47" s="5"/>
    </row>
    <row r="48" spans="1:2" x14ac:dyDescent="0.35">
      <c r="A48" s="9" t="s">
        <v>335</v>
      </c>
    </row>
    <row r="50" spans="1:1" x14ac:dyDescent="0.35">
      <c r="A50" t="s">
        <v>336</v>
      </c>
    </row>
  </sheetData>
  <pageMargins left="0.7" right="0.7" top="0.75" bottom="0.75" header="0.3" footer="0.3"/>
  <headerFooter>
    <oddHeader>&amp;C&amp;"Aptos"&amp;11&amp;K000000 Internal&amp;1#_x000D_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4BEB1-FEC2-4241-B77C-F43FBAD7A6C6}">
  <dimension ref="A1:D48"/>
  <sheetViews>
    <sheetView workbookViewId="0">
      <selection activeCell="C2" sqref="C2"/>
    </sheetView>
  </sheetViews>
  <sheetFormatPr defaultColWidth="24.90625" defaultRowHeight="14.5" x14ac:dyDescent="0.35"/>
  <sheetData>
    <row r="1" spans="1:4" x14ac:dyDescent="0.35">
      <c r="A1" s="1" t="s">
        <v>106</v>
      </c>
      <c r="B1" s="1" t="s">
        <v>107</v>
      </c>
      <c r="C1" s="1" t="s">
        <v>108</v>
      </c>
      <c r="D1" s="1" t="s">
        <v>109</v>
      </c>
    </row>
    <row r="2" spans="1:4" x14ac:dyDescent="0.35">
      <c r="A2" s="2" t="s">
        <v>110</v>
      </c>
      <c r="B2" s="2"/>
      <c r="C2" s="2"/>
      <c r="D2" s="2" t="s">
        <v>111</v>
      </c>
    </row>
    <row r="3" spans="1:4" ht="29" x14ac:dyDescent="0.35">
      <c r="A3" s="2" t="s">
        <v>112</v>
      </c>
      <c r="B3" s="2"/>
      <c r="C3" s="2"/>
      <c r="D3" s="2" t="s">
        <v>113</v>
      </c>
    </row>
    <row r="4" spans="1:4" ht="29" x14ac:dyDescent="0.35">
      <c r="A4" s="2" t="s">
        <v>114</v>
      </c>
      <c r="B4" s="2"/>
      <c r="C4" s="2"/>
      <c r="D4" s="2" t="s">
        <v>115</v>
      </c>
    </row>
    <row r="14" spans="1:4" ht="23.5" x14ac:dyDescent="0.35">
      <c r="A14" s="4" t="s">
        <v>337</v>
      </c>
    </row>
    <row r="16" spans="1:4" ht="17.5" x14ac:dyDescent="0.35">
      <c r="A16" s="10" t="s">
        <v>338</v>
      </c>
    </row>
    <row r="17" spans="1:1" x14ac:dyDescent="0.35">
      <c r="A17" s="5"/>
    </row>
    <row r="18" spans="1:1" x14ac:dyDescent="0.35">
      <c r="A18" s="9" t="s">
        <v>339</v>
      </c>
    </row>
    <row r="19" spans="1:1" x14ac:dyDescent="0.35">
      <c r="A19" s="5"/>
    </row>
    <row r="20" spans="1:1" x14ac:dyDescent="0.35">
      <c r="A20" s="9" t="s">
        <v>340</v>
      </c>
    </row>
    <row r="21" spans="1:1" x14ac:dyDescent="0.35">
      <c r="A21" s="6"/>
    </row>
    <row r="22" spans="1:1" x14ac:dyDescent="0.35">
      <c r="A22" s="6" t="s">
        <v>341</v>
      </c>
    </row>
    <row r="23" spans="1:1" x14ac:dyDescent="0.35">
      <c r="A23" s="6"/>
    </row>
    <row r="24" spans="1:1" x14ac:dyDescent="0.35">
      <c r="A24" s="6" t="s">
        <v>342</v>
      </c>
    </row>
    <row r="25" spans="1:1" x14ac:dyDescent="0.35">
      <c r="A25" s="5"/>
    </row>
    <row r="26" spans="1:1" x14ac:dyDescent="0.35">
      <c r="A26" s="9" t="s">
        <v>343</v>
      </c>
    </row>
    <row r="28" spans="1:1" ht="17.5" x14ac:dyDescent="0.35">
      <c r="A28" s="10" t="s">
        <v>344</v>
      </c>
    </row>
    <row r="29" spans="1:1" x14ac:dyDescent="0.35">
      <c r="A29" s="5"/>
    </row>
    <row r="30" spans="1:1" x14ac:dyDescent="0.35">
      <c r="A30" s="9" t="s">
        <v>345</v>
      </c>
    </row>
    <row r="31" spans="1:1" x14ac:dyDescent="0.35">
      <c r="A31" s="5"/>
    </row>
    <row r="32" spans="1:1" x14ac:dyDescent="0.35">
      <c r="A32" s="9" t="s">
        <v>340</v>
      </c>
    </row>
    <row r="33" spans="1:1" x14ac:dyDescent="0.35">
      <c r="A33" s="6"/>
    </row>
    <row r="34" spans="1:1" x14ac:dyDescent="0.35">
      <c r="A34" s="6" t="s">
        <v>346</v>
      </c>
    </row>
    <row r="35" spans="1:1" x14ac:dyDescent="0.35">
      <c r="A35" s="6"/>
    </row>
    <row r="36" spans="1:1" x14ac:dyDescent="0.35">
      <c r="A36" s="6" t="s">
        <v>347</v>
      </c>
    </row>
    <row r="37" spans="1:1" x14ac:dyDescent="0.35">
      <c r="A37" s="5"/>
    </row>
    <row r="38" spans="1:1" x14ac:dyDescent="0.35">
      <c r="A38" s="9" t="s">
        <v>348</v>
      </c>
    </row>
    <row r="40" spans="1:1" ht="17.5" x14ac:dyDescent="0.35">
      <c r="A40" s="10" t="s">
        <v>349</v>
      </c>
    </row>
    <row r="41" spans="1:1" x14ac:dyDescent="0.35">
      <c r="A41" s="5"/>
    </row>
    <row r="42" spans="1:1" x14ac:dyDescent="0.35">
      <c r="A42" s="9" t="s">
        <v>350</v>
      </c>
    </row>
    <row r="43" spans="1:1" x14ac:dyDescent="0.35">
      <c r="A43" s="5"/>
    </row>
    <row r="44" spans="1:1" x14ac:dyDescent="0.35">
      <c r="A44" s="9" t="s">
        <v>340</v>
      </c>
    </row>
    <row r="45" spans="1:1" x14ac:dyDescent="0.35">
      <c r="A45" s="6"/>
    </row>
    <row r="46" spans="1:1" x14ac:dyDescent="0.35">
      <c r="A46" s="6" t="s">
        <v>351</v>
      </c>
    </row>
    <row r="47" spans="1:1" x14ac:dyDescent="0.35">
      <c r="A47" s="6"/>
    </row>
    <row r="48" spans="1:1" x14ac:dyDescent="0.35">
      <c r="A48" s="6" t="s">
        <v>352</v>
      </c>
    </row>
  </sheetData>
  <dataValidations count="2">
    <dataValidation type="list" allowBlank="1" showInputMessage="1" showErrorMessage="1" sqref="C2 C4" xr:uid="{59A53E9E-2012-46D4-A47B-43F14EBCC82E}">
      <formula1>"On Track, Delayed"</formula1>
    </dataValidation>
    <dataValidation type="list" allowBlank="1" showInputMessage="1" showErrorMessage="1" sqref="C3" xr:uid="{A755D836-2DA1-40F8-A0DC-7255C3EC49F6}">
      <formula1>"Yes, No"</formula1>
    </dataValidation>
  </dataValidations>
  <pageMargins left="0.7" right="0.7" top="0.75" bottom="0.75" header="0.3" footer="0.3"/>
  <headerFooter>
    <oddHeader>&amp;C&amp;"Aptos"&amp;11&amp;K000000 Internal&amp;1#_x000D_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76644-06A0-4325-AF3F-96914F06BA94}">
  <dimension ref="A1:C5"/>
  <sheetViews>
    <sheetView workbookViewId="0">
      <selection activeCell="B2" sqref="B2"/>
    </sheetView>
  </sheetViews>
  <sheetFormatPr defaultColWidth="30" defaultRowHeight="14.5" x14ac:dyDescent="0.35"/>
  <sheetData>
    <row r="1" spans="1:3" x14ac:dyDescent="0.35">
      <c r="A1" s="1" t="s">
        <v>63</v>
      </c>
      <c r="B1" s="1" t="s">
        <v>116</v>
      </c>
      <c r="C1" s="1" t="s">
        <v>65</v>
      </c>
    </row>
    <row r="2" spans="1:3" x14ac:dyDescent="0.35">
      <c r="A2" s="2" t="s">
        <v>117</v>
      </c>
      <c r="B2" s="2"/>
      <c r="C2" s="2" t="s">
        <v>118</v>
      </c>
    </row>
    <row r="3" spans="1:3" x14ac:dyDescent="0.35">
      <c r="A3" s="2" t="s">
        <v>119</v>
      </c>
      <c r="B3" s="2"/>
      <c r="C3" s="2" t="s">
        <v>120</v>
      </c>
    </row>
    <row r="4" spans="1:3" ht="29" x14ac:dyDescent="0.35">
      <c r="A4" s="2" t="s">
        <v>121</v>
      </c>
      <c r="B4" s="2"/>
      <c r="C4" s="2" t="s">
        <v>122</v>
      </c>
    </row>
    <row r="5" spans="1:3" x14ac:dyDescent="0.35">
      <c r="A5" s="2" t="s">
        <v>123</v>
      </c>
      <c r="B5" s="2"/>
      <c r="C5" s="2" t="s">
        <v>124</v>
      </c>
    </row>
  </sheetData>
  <pageMargins left="0.7" right="0.7" top="0.75" bottom="0.75" header="0.3" footer="0.3"/>
  <headerFooter>
    <oddHeader>&amp;C&amp;"Aptos"&amp;11&amp;K000000 Internal&amp;1#_x000D_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E4FC-3B82-441B-97B2-95E1863BA486}">
  <dimension ref="A1:D5"/>
  <sheetViews>
    <sheetView workbookViewId="0">
      <selection activeCell="D2" sqref="D2"/>
    </sheetView>
  </sheetViews>
  <sheetFormatPr defaultRowHeight="14.5" x14ac:dyDescent="0.35"/>
  <sheetData>
    <row r="1" spans="1:4" ht="29" x14ac:dyDescent="0.35">
      <c r="A1" s="1" t="s">
        <v>125</v>
      </c>
      <c r="B1" s="1" t="s">
        <v>126</v>
      </c>
      <c r="C1" s="1" t="s">
        <v>127</v>
      </c>
      <c r="D1" s="1" t="s">
        <v>128</v>
      </c>
    </row>
    <row r="2" spans="1:4" ht="58" x14ac:dyDescent="0.35">
      <c r="A2" s="2" t="s">
        <v>129</v>
      </c>
      <c r="B2" s="2" t="s">
        <v>130</v>
      </c>
      <c r="C2" s="2"/>
      <c r="D2" s="2"/>
    </row>
    <row r="3" spans="1:4" ht="43.5" x14ac:dyDescent="0.35">
      <c r="A3" s="2" t="s">
        <v>131</v>
      </c>
      <c r="B3" s="2" t="s">
        <v>132</v>
      </c>
      <c r="C3" s="2"/>
      <c r="D3" s="2"/>
    </row>
    <row r="4" spans="1:4" ht="43.5" x14ac:dyDescent="0.35">
      <c r="A4" s="2" t="s">
        <v>133</v>
      </c>
      <c r="B4" s="2" t="s">
        <v>134</v>
      </c>
      <c r="C4" s="2"/>
      <c r="D4" s="2"/>
    </row>
    <row r="5" spans="1:4" ht="72.5" x14ac:dyDescent="0.35">
      <c r="A5" s="2" t="s">
        <v>135</v>
      </c>
      <c r="B5" s="2" t="s">
        <v>136</v>
      </c>
      <c r="C5" s="2"/>
      <c r="D5" s="2"/>
    </row>
  </sheetData>
  <pageMargins left="0.7" right="0.7" top="0.75" bottom="0.75" header="0.3" footer="0.3"/>
  <headerFooter>
    <oddHeader>&amp;C&amp;"Aptos"&amp;11&amp;K000000 Internal&amp;1#_x000D_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5A36D-586B-41E3-95A0-F9934DFA9835}">
  <dimension ref="B3:B25"/>
  <sheetViews>
    <sheetView topLeftCell="A9" workbookViewId="0">
      <selection activeCell="B9" sqref="B9"/>
    </sheetView>
  </sheetViews>
  <sheetFormatPr defaultRowHeight="14.5" x14ac:dyDescent="0.35"/>
  <sheetData>
    <row r="3" spans="2:2" ht="23.5" x14ac:dyDescent="0.35">
      <c r="B3" s="4" t="s">
        <v>62</v>
      </c>
    </row>
    <row r="4" spans="2:2" x14ac:dyDescent="0.35">
      <c r="B4" s="5"/>
    </row>
    <row r="5" spans="2:2" x14ac:dyDescent="0.35">
      <c r="B5" s="5" t="s">
        <v>53</v>
      </c>
    </row>
    <row r="6" spans="2:2" x14ac:dyDescent="0.35">
      <c r="B6" s="5"/>
    </row>
    <row r="7" spans="2:2" x14ac:dyDescent="0.35">
      <c r="B7" s="5"/>
    </row>
    <row r="8" spans="2:2" x14ac:dyDescent="0.35">
      <c r="B8" s="6"/>
    </row>
    <row r="9" spans="2:2" x14ac:dyDescent="0.35">
      <c r="B9" s="6" t="s">
        <v>54</v>
      </c>
    </row>
    <row r="10" spans="2:2" x14ac:dyDescent="0.35">
      <c r="B10" s="6"/>
    </row>
    <row r="11" spans="2:2" x14ac:dyDescent="0.35">
      <c r="B11" s="6" t="s">
        <v>55</v>
      </c>
    </row>
    <row r="12" spans="2:2" x14ac:dyDescent="0.35">
      <c r="B12" s="6"/>
    </row>
    <row r="13" spans="2:2" x14ac:dyDescent="0.35">
      <c r="B13" s="6" t="s">
        <v>56</v>
      </c>
    </row>
    <row r="14" spans="2:2" x14ac:dyDescent="0.35">
      <c r="B14" s="5"/>
    </row>
    <row r="15" spans="2:2" x14ac:dyDescent="0.35">
      <c r="B15" s="5" t="s">
        <v>57</v>
      </c>
    </row>
    <row r="16" spans="2:2" x14ac:dyDescent="0.35">
      <c r="B16" s="5"/>
    </row>
    <row r="17" spans="2:2" x14ac:dyDescent="0.35">
      <c r="B17" s="5"/>
    </row>
    <row r="18" spans="2:2" x14ac:dyDescent="0.35">
      <c r="B18" s="6"/>
    </row>
    <row r="19" spans="2:2" x14ac:dyDescent="0.35">
      <c r="B19" s="6" t="s">
        <v>58</v>
      </c>
    </row>
    <row r="20" spans="2:2" x14ac:dyDescent="0.35">
      <c r="B20" s="6"/>
    </row>
    <row r="21" spans="2:2" x14ac:dyDescent="0.35">
      <c r="B21" s="6" t="s">
        <v>59</v>
      </c>
    </row>
    <row r="22" spans="2:2" x14ac:dyDescent="0.35">
      <c r="B22" s="6"/>
    </row>
    <row r="23" spans="2:2" x14ac:dyDescent="0.35">
      <c r="B23" s="6" t="s">
        <v>60</v>
      </c>
    </row>
    <row r="24" spans="2:2" x14ac:dyDescent="0.35">
      <c r="B24" s="5"/>
    </row>
    <row r="25" spans="2:2" x14ac:dyDescent="0.35">
      <c r="B25" s="5" t="s">
        <v>61</v>
      </c>
    </row>
  </sheetData>
  <pageMargins left="0.7" right="0.7" top="0.75" bottom="0.75" header="0.3" footer="0.3"/>
  <headerFooter>
    <oddHeader>&amp;C&amp;"Aptos"&amp;11&amp;K000000 Internal&amp;1#_x000D_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2D7C7-BD74-4005-993C-AD36AF7DDAD1}">
  <dimension ref="A1:B189"/>
  <sheetViews>
    <sheetView tabSelected="1" topLeftCell="A11" workbookViewId="0">
      <selection activeCell="E174" sqref="E174"/>
    </sheetView>
  </sheetViews>
  <sheetFormatPr defaultRowHeight="14.5" x14ac:dyDescent="0.35"/>
  <cols>
    <col min="1" max="1" width="14" customWidth="1"/>
    <col min="2" max="2" width="24.1796875" customWidth="1"/>
  </cols>
  <sheetData>
    <row r="1" spans="1:1" ht="31" x14ac:dyDescent="0.35">
      <c r="A1" s="7" t="s">
        <v>137</v>
      </c>
    </row>
    <row r="3" spans="1:1" ht="23.5" x14ac:dyDescent="0.35">
      <c r="A3" s="4" t="s">
        <v>138</v>
      </c>
    </row>
    <row r="5" spans="1:1" x14ac:dyDescent="0.35">
      <c r="A5" s="8" t="s">
        <v>139</v>
      </c>
    </row>
    <row r="6" spans="1:1" x14ac:dyDescent="0.35">
      <c r="A6" t="s">
        <v>140</v>
      </c>
    </row>
    <row r="8" spans="1:1" x14ac:dyDescent="0.35">
      <c r="A8" s="8" t="s">
        <v>141</v>
      </c>
    </row>
    <row r="9" spans="1:1" x14ac:dyDescent="0.35">
      <c r="A9" s="5"/>
    </row>
    <row r="10" spans="1:1" x14ac:dyDescent="0.35">
      <c r="A10" s="5" t="s">
        <v>142</v>
      </c>
    </row>
    <row r="11" spans="1:1" x14ac:dyDescent="0.35">
      <c r="A11" s="5"/>
    </row>
    <row r="12" spans="1:1" x14ac:dyDescent="0.35">
      <c r="A12" s="5" t="s">
        <v>143</v>
      </c>
    </row>
    <row r="14" spans="1:1" x14ac:dyDescent="0.35">
      <c r="A14" s="8" t="s">
        <v>144</v>
      </c>
    </row>
    <row r="15" spans="1:1" x14ac:dyDescent="0.35">
      <c r="A15" s="5"/>
    </row>
    <row r="16" spans="1:1" x14ac:dyDescent="0.35">
      <c r="A16" s="5" t="s">
        <v>145</v>
      </c>
    </row>
    <row r="20" spans="1:2" ht="23.5" x14ac:dyDescent="0.35">
      <c r="A20" s="4" t="s">
        <v>146</v>
      </c>
    </row>
    <row r="22" spans="1:2" x14ac:dyDescent="0.35">
      <c r="A22" s="1" t="s">
        <v>147</v>
      </c>
      <c r="B22" s="1" t="s">
        <v>148</v>
      </c>
    </row>
    <row r="23" spans="1:2" x14ac:dyDescent="0.35">
      <c r="A23" s="3">
        <v>0</v>
      </c>
      <c r="B23" s="2" t="s">
        <v>149</v>
      </c>
    </row>
    <row r="24" spans="1:2" ht="29" x14ac:dyDescent="0.35">
      <c r="A24" s="3">
        <v>1</v>
      </c>
      <c r="B24" s="2" t="s">
        <v>150</v>
      </c>
    </row>
    <row r="25" spans="1:2" x14ac:dyDescent="0.35">
      <c r="A25" s="3">
        <v>2</v>
      </c>
      <c r="B25" s="2" t="s">
        <v>151</v>
      </c>
    </row>
    <row r="26" spans="1:2" ht="29" x14ac:dyDescent="0.35">
      <c r="A26" s="3">
        <v>3</v>
      </c>
      <c r="B26" s="2" t="s">
        <v>152</v>
      </c>
    </row>
    <row r="28" spans="1:2" x14ac:dyDescent="0.35">
      <c r="A28" s="8" t="s">
        <v>153</v>
      </c>
    </row>
    <row r="29" spans="1:2" x14ac:dyDescent="0.35">
      <c r="A29" t="s">
        <v>154</v>
      </c>
    </row>
    <row r="30" spans="1:2" x14ac:dyDescent="0.35">
      <c r="A30" t="s">
        <v>155</v>
      </c>
    </row>
    <row r="34" spans="1:1" ht="23.5" x14ac:dyDescent="0.35">
      <c r="A34" s="4" t="s">
        <v>156</v>
      </c>
    </row>
    <row r="38" spans="1:1" ht="23.5" x14ac:dyDescent="0.35">
      <c r="A38" s="4" t="s">
        <v>157</v>
      </c>
    </row>
    <row r="40" spans="1:1" x14ac:dyDescent="0.35">
      <c r="A40" s="8" t="s">
        <v>158</v>
      </c>
    </row>
    <row r="41" spans="1:1" x14ac:dyDescent="0.35">
      <c r="A41" t="s">
        <v>159</v>
      </c>
    </row>
    <row r="43" spans="1:1" x14ac:dyDescent="0.35">
      <c r="A43" s="8" t="s">
        <v>160</v>
      </c>
    </row>
    <row r="44" spans="1:1" x14ac:dyDescent="0.35">
      <c r="A44" s="5"/>
    </row>
    <row r="45" spans="1:1" x14ac:dyDescent="0.35">
      <c r="A45" s="9" t="s">
        <v>161</v>
      </c>
    </row>
    <row r="47" spans="1:1" x14ac:dyDescent="0.35">
      <c r="A47" s="8" t="s">
        <v>162</v>
      </c>
    </row>
    <row r="48" spans="1:1" x14ac:dyDescent="0.35">
      <c r="A48" s="5"/>
    </row>
    <row r="49" spans="1:1" x14ac:dyDescent="0.35">
      <c r="A49" s="5" t="s">
        <v>163</v>
      </c>
    </row>
    <row r="50" spans="1:1" x14ac:dyDescent="0.35">
      <c r="A50" s="5"/>
    </row>
    <row r="51" spans="1:1" x14ac:dyDescent="0.35">
      <c r="A51" s="5" t="s">
        <v>164</v>
      </c>
    </row>
    <row r="52" spans="1:1" x14ac:dyDescent="0.35">
      <c r="A52" s="5"/>
    </row>
    <row r="53" spans="1:1" x14ac:dyDescent="0.35">
      <c r="A53" s="5" t="s">
        <v>165</v>
      </c>
    </row>
    <row r="55" spans="1:1" x14ac:dyDescent="0.35">
      <c r="A55" s="8" t="s">
        <v>166</v>
      </c>
    </row>
    <row r="56" spans="1:1" x14ac:dyDescent="0.35">
      <c r="A56" t="s">
        <v>167</v>
      </c>
    </row>
    <row r="60" spans="1:1" ht="23.5" x14ac:dyDescent="0.35">
      <c r="A60" s="4" t="s">
        <v>168</v>
      </c>
    </row>
    <row r="62" spans="1:1" x14ac:dyDescent="0.35">
      <c r="A62" s="8" t="s">
        <v>158</v>
      </c>
    </row>
    <row r="63" spans="1:1" x14ac:dyDescent="0.35">
      <c r="A63" t="s">
        <v>169</v>
      </c>
    </row>
    <row r="65" spans="1:1" x14ac:dyDescent="0.35">
      <c r="A65" s="8" t="s">
        <v>160</v>
      </c>
    </row>
    <row r="66" spans="1:1" x14ac:dyDescent="0.35">
      <c r="A66" s="5"/>
    </row>
    <row r="67" spans="1:1" x14ac:dyDescent="0.35">
      <c r="A67" s="9" t="s">
        <v>170</v>
      </c>
    </row>
    <row r="69" spans="1:1" x14ac:dyDescent="0.35">
      <c r="A69" s="8" t="s">
        <v>166</v>
      </c>
    </row>
    <row r="70" spans="1:1" x14ac:dyDescent="0.35">
      <c r="A70" t="s">
        <v>171</v>
      </c>
    </row>
    <row r="74" spans="1:1" ht="23.5" x14ac:dyDescent="0.35">
      <c r="A74" s="4" t="s">
        <v>172</v>
      </c>
    </row>
    <row r="76" spans="1:1" x14ac:dyDescent="0.35">
      <c r="A76" s="8" t="s">
        <v>158</v>
      </c>
    </row>
    <row r="77" spans="1:1" x14ac:dyDescent="0.35">
      <c r="A77" t="s">
        <v>173</v>
      </c>
    </row>
    <row r="79" spans="1:1" x14ac:dyDescent="0.35">
      <c r="A79" s="8" t="s">
        <v>160</v>
      </c>
    </row>
    <row r="80" spans="1:1" x14ac:dyDescent="0.35">
      <c r="A80" s="5"/>
    </row>
    <row r="81" spans="1:1" x14ac:dyDescent="0.35">
      <c r="A81" s="9" t="s">
        <v>174</v>
      </c>
    </row>
    <row r="83" spans="1:1" x14ac:dyDescent="0.35">
      <c r="A83" s="8" t="s">
        <v>166</v>
      </c>
    </row>
    <row r="84" spans="1:1" x14ac:dyDescent="0.35">
      <c r="A84" t="s">
        <v>175</v>
      </c>
    </row>
    <row r="88" spans="1:1" ht="23.5" x14ac:dyDescent="0.35">
      <c r="A88" s="4" t="s">
        <v>176</v>
      </c>
    </row>
    <row r="90" spans="1:1" x14ac:dyDescent="0.35">
      <c r="A90" s="8" t="s">
        <v>158</v>
      </c>
    </row>
    <row r="91" spans="1:1" x14ac:dyDescent="0.35">
      <c r="A91" t="s">
        <v>177</v>
      </c>
    </row>
    <row r="93" spans="1:1" x14ac:dyDescent="0.35">
      <c r="A93" s="8" t="s">
        <v>160</v>
      </c>
    </row>
    <row r="94" spans="1:1" x14ac:dyDescent="0.35">
      <c r="A94" s="5"/>
    </row>
    <row r="95" spans="1:1" x14ac:dyDescent="0.35">
      <c r="A95" s="9" t="s">
        <v>178</v>
      </c>
    </row>
    <row r="97" spans="1:1" x14ac:dyDescent="0.35">
      <c r="A97" s="8" t="s">
        <v>166</v>
      </c>
    </row>
    <row r="98" spans="1:1" x14ac:dyDescent="0.35">
      <c r="A98" t="s">
        <v>179</v>
      </c>
    </row>
    <row r="102" spans="1:1" ht="23.5" x14ac:dyDescent="0.35">
      <c r="A102" s="4" t="s">
        <v>180</v>
      </c>
    </row>
    <row r="104" spans="1:1" x14ac:dyDescent="0.35">
      <c r="A104" s="8" t="s">
        <v>158</v>
      </c>
    </row>
    <row r="105" spans="1:1" x14ac:dyDescent="0.35">
      <c r="A105" t="s">
        <v>181</v>
      </c>
    </row>
    <row r="107" spans="1:1" x14ac:dyDescent="0.35">
      <c r="A107" s="8" t="s">
        <v>160</v>
      </c>
    </row>
    <row r="108" spans="1:1" x14ac:dyDescent="0.35">
      <c r="A108" s="5"/>
    </row>
    <row r="109" spans="1:1" x14ac:dyDescent="0.35">
      <c r="A109" s="9" t="s">
        <v>182</v>
      </c>
    </row>
    <row r="111" spans="1:1" x14ac:dyDescent="0.35">
      <c r="A111" s="8" t="s">
        <v>166</v>
      </c>
    </row>
    <row r="112" spans="1:1" x14ac:dyDescent="0.35">
      <c r="A112" t="s">
        <v>183</v>
      </c>
    </row>
    <row r="116" spans="1:1" ht="23.5" x14ac:dyDescent="0.35">
      <c r="A116" s="4" t="s">
        <v>184</v>
      </c>
    </row>
    <row r="118" spans="1:1" x14ac:dyDescent="0.35">
      <c r="A118" s="8" t="s">
        <v>158</v>
      </c>
    </row>
    <row r="119" spans="1:1" x14ac:dyDescent="0.35">
      <c r="A119" t="s">
        <v>185</v>
      </c>
    </row>
    <row r="121" spans="1:1" x14ac:dyDescent="0.35">
      <c r="A121" s="8" t="s">
        <v>160</v>
      </c>
    </row>
    <row r="122" spans="1:1" x14ac:dyDescent="0.35">
      <c r="A122" s="5"/>
    </row>
    <row r="123" spans="1:1" x14ac:dyDescent="0.35">
      <c r="A123" s="9" t="s">
        <v>186</v>
      </c>
    </row>
    <row r="125" spans="1:1" x14ac:dyDescent="0.35">
      <c r="A125" s="8" t="s">
        <v>166</v>
      </c>
    </row>
    <row r="126" spans="1:1" x14ac:dyDescent="0.35">
      <c r="A126" t="s">
        <v>187</v>
      </c>
    </row>
    <row r="130" spans="1:1" ht="23.5" x14ac:dyDescent="0.35">
      <c r="A130" s="4" t="s">
        <v>188</v>
      </c>
    </row>
    <row r="132" spans="1:1" x14ac:dyDescent="0.35">
      <c r="A132" s="8" t="s">
        <v>158</v>
      </c>
    </row>
    <row r="133" spans="1:1" x14ac:dyDescent="0.35">
      <c r="A133" t="s">
        <v>189</v>
      </c>
    </row>
    <row r="135" spans="1:1" x14ac:dyDescent="0.35">
      <c r="A135" s="8" t="s">
        <v>160</v>
      </c>
    </row>
    <row r="136" spans="1:1" x14ac:dyDescent="0.35">
      <c r="A136" s="5"/>
    </row>
    <row r="137" spans="1:1" x14ac:dyDescent="0.35">
      <c r="A137" s="9" t="s">
        <v>190</v>
      </c>
    </row>
    <row r="139" spans="1:1" x14ac:dyDescent="0.35">
      <c r="A139" s="8" t="s">
        <v>166</v>
      </c>
    </row>
    <row r="140" spans="1:1" x14ac:dyDescent="0.35">
      <c r="A140" t="s">
        <v>191</v>
      </c>
    </row>
    <row r="144" spans="1:1" ht="23.5" x14ac:dyDescent="0.35">
      <c r="A144" s="4" t="s">
        <v>192</v>
      </c>
    </row>
    <row r="146" spans="1:1" x14ac:dyDescent="0.35">
      <c r="A146" s="8" t="s">
        <v>158</v>
      </c>
    </row>
    <row r="147" spans="1:1" x14ac:dyDescent="0.35">
      <c r="A147" t="s">
        <v>193</v>
      </c>
    </row>
    <row r="149" spans="1:1" x14ac:dyDescent="0.35">
      <c r="A149" s="8" t="s">
        <v>160</v>
      </c>
    </row>
    <row r="150" spans="1:1" x14ac:dyDescent="0.35">
      <c r="A150" s="5"/>
    </row>
    <row r="151" spans="1:1" x14ac:dyDescent="0.35">
      <c r="A151" s="5" t="s">
        <v>194</v>
      </c>
    </row>
    <row r="153" spans="1:1" x14ac:dyDescent="0.35">
      <c r="A153" s="8" t="s">
        <v>195</v>
      </c>
    </row>
    <row r="154" spans="1:1" x14ac:dyDescent="0.35">
      <c r="A154" s="5"/>
    </row>
    <row r="155" spans="1:1" x14ac:dyDescent="0.35">
      <c r="A155" s="5" t="s">
        <v>196</v>
      </c>
    </row>
    <row r="156" spans="1:1" x14ac:dyDescent="0.35">
      <c r="A156" s="5"/>
    </row>
    <row r="157" spans="1:1" x14ac:dyDescent="0.35">
      <c r="A157" s="5" t="s">
        <v>197</v>
      </c>
    </row>
    <row r="158" spans="1:1" x14ac:dyDescent="0.35">
      <c r="A158" s="5"/>
    </row>
    <row r="159" spans="1:1" x14ac:dyDescent="0.35">
      <c r="A159" s="5" t="s">
        <v>198</v>
      </c>
    </row>
    <row r="160" spans="1:1" x14ac:dyDescent="0.35">
      <c r="A160" s="5"/>
    </row>
    <row r="161" spans="1:1" x14ac:dyDescent="0.35">
      <c r="A161" s="5" t="s">
        <v>199</v>
      </c>
    </row>
    <row r="165" spans="1:1" ht="23.5" x14ac:dyDescent="0.35">
      <c r="A165" s="4" t="s">
        <v>200</v>
      </c>
    </row>
    <row r="166" spans="1:1" x14ac:dyDescent="0.35">
      <c r="A166" s="5"/>
    </row>
    <row r="167" spans="1:1" x14ac:dyDescent="0.35">
      <c r="A167" s="9" t="s">
        <v>201</v>
      </c>
    </row>
    <row r="172" spans="1:1" x14ac:dyDescent="0.35">
      <c r="A172" s="5"/>
    </row>
    <row r="173" spans="1:1" x14ac:dyDescent="0.35">
      <c r="A173" s="5"/>
    </row>
    <row r="174" spans="1:1" x14ac:dyDescent="0.35">
      <c r="A174" s="5"/>
    </row>
    <row r="175" spans="1:1" x14ac:dyDescent="0.35">
      <c r="A175" s="5"/>
    </row>
    <row r="176" spans="1:1" x14ac:dyDescent="0.35">
      <c r="A176" s="5"/>
    </row>
    <row r="177" spans="1:1" x14ac:dyDescent="0.35">
      <c r="A177" s="5"/>
    </row>
    <row r="178" spans="1:1" x14ac:dyDescent="0.35">
      <c r="A178" s="5"/>
    </row>
    <row r="179" spans="1:1" x14ac:dyDescent="0.35">
      <c r="A179" s="5"/>
    </row>
    <row r="180" spans="1:1" x14ac:dyDescent="0.35">
      <c r="A180" s="5"/>
    </row>
    <row r="181" spans="1:1" x14ac:dyDescent="0.35">
      <c r="A181" s="5"/>
    </row>
    <row r="184" spans="1:1" x14ac:dyDescent="0.35">
      <c r="A184" s="5"/>
    </row>
    <row r="185" spans="1:1" x14ac:dyDescent="0.35">
      <c r="A185" s="5"/>
    </row>
    <row r="186" spans="1:1" x14ac:dyDescent="0.35">
      <c r="A186" s="5"/>
    </row>
    <row r="187" spans="1:1" x14ac:dyDescent="0.35">
      <c r="A187" s="5"/>
    </row>
    <row r="188" spans="1:1" x14ac:dyDescent="0.35">
      <c r="A188" s="5"/>
    </row>
    <row r="189" spans="1:1" x14ac:dyDescent="0.35">
      <c r="A189" s="5"/>
    </row>
  </sheetData>
  <pageMargins left="0.7" right="0.7" top="0.75" bottom="0.75" header="0.3" footer="0.3"/>
  <headerFooter>
    <oddHeader>&amp;C&amp;"Aptos"&amp;11&amp;K000000 Internal&amp;1#_x000D_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5AADA-43E3-4075-92F0-F35319DBFDF1}">
  <dimension ref="A1:B168"/>
  <sheetViews>
    <sheetView topLeftCell="A3" workbookViewId="0">
      <selection activeCell="F12" sqref="F12"/>
    </sheetView>
  </sheetViews>
  <sheetFormatPr defaultRowHeight="14.5" x14ac:dyDescent="0.35"/>
  <cols>
    <col min="1" max="1" width="22.453125" customWidth="1"/>
    <col min="2" max="2" width="37.81640625" customWidth="1"/>
    <col min="3" max="3" width="28.26953125" customWidth="1"/>
  </cols>
  <sheetData>
    <row r="1" spans="1:2" ht="23.5" x14ac:dyDescent="0.35">
      <c r="A1" s="4" t="s">
        <v>205</v>
      </c>
    </row>
    <row r="3" spans="1:2" ht="17.5" x14ac:dyDescent="0.35">
      <c r="A3" s="10" t="s">
        <v>206</v>
      </c>
    </row>
    <row r="5" spans="1:2" x14ac:dyDescent="0.35">
      <c r="A5" t="s">
        <v>207</v>
      </c>
    </row>
    <row r="6" spans="1:2" x14ac:dyDescent="0.35">
      <c r="A6" t="s">
        <v>208</v>
      </c>
    </row>
    <row r="10" spans="1:2" ht="23.5" x14ac:dyDescent="0.35">
      <c r="A10" s="4" t="s">
        <v>209</v>
      </c>
    </row>
    <row r="12" spans="1:2" ht="29" x14ac:dyDescent="0.35">
      <c r="A12" s="1" t="s">
        <v>210</v>
      </c>
      <c r="B12" s="1" t="s">
        <v>158</v>
      </c>
    </row>
    <row r="13" spans="1:2" ht="43.5" x14ac:dyDescent="0.35">
      <c r="A13" s="2" t="s">
        <v>211</v>
      </c>
      <c r="B13" s="2" t="s">
        <v>212</v>
      </c>
    </row>
    <row r="14" spans="1:2" ht="29" x14ac:dyDescent="0.35">
      <c r="A14" s="2" t="s">
        <v>213</v>
      </c>
      <c r="B14" s="2" t="s">
        <v>214</v>
      </c>
    </row>
    <row r="15" spans="1:2" ht="29" x14ac:dyDescent="0.35">
      <c r="A15" s="2" t="s">
        <v>215</v>
      </c>
      <c r="B15" s="2" t="s">
        <v>216</v>
      </c>
    </row>
    <row r="16" spans="1:2" x14ac:dyDescent="0.35">
      <c r="A16" s="2" t="s">
        <v>217</v>
      </c>
      <c r="B16" s="2" t="s">
        <v>218</v>
      </c>
    </row>
    <row r="17" spans="1:2" ht="29" x14ac:dyDescent="0.35">
      <c r="A17" s="2" t="s">
        <v>219</v>
      </c>
      <c r="B17" s="2" t="s">
        <v>220</v>
      </c>
    </row>
    <row r="18" spans="1:2" x14ac:dyDescent="0.35">
      <c r="A18" s="2" t="s">
        <v>221</v>
      </c>
      <c r="B18" s="2" t="s">
        <v>222</v>
      </c>
    </row>
    <row r="19" spans="1:2" x14ac:dyDescent="0.35">
      <c r="A19" s="2" t="s">
        <v>223</v>
      </c>
      <c r="B19" s="2" t="s">
        <v>224</v>
      </c>
    </row>
    <row r="20" spans="1:2" ht="29" x14ac:dyDescent="0.35">
      <c r="A20" s="2" t="s">
        <v>225</v>
      </c>
      <c r="B20" s="2" t="s">
        <v>226</v>
      </c>
    </row>
    <row r="21" spans="1:2" ht="29" x14ac:dyDescent="0.35">
      <c r="A21" s="2" t="s">
        <v>227</v>
      </c>
      <c r="B21" s="2" t="s">
        <v>228</v>
      </c>
    </row>
    <row r="22" spans="1:2" x14ac:dyDescent="0.35">
      <c r="A22" s="5"/>
    </row>
    <row r="23" spans="1:2" x14ac:dyDescent="0.35">
      <c r="A23" s="9" t="s">
        <v>229</v>
      </c>
    </row>
    <row r="24" spans="1:2" x14ac:dyDescent="0.35">
      <c r="A24" s="9" t="s">
        <v>230</v>
      </c>
    </row>
    <row r="28" spans="1:2" ht="23.5" x14ac:dyDescent="0.35">
      <c r="A28" s="4" t="s">
        <v>231</v>
      </c>
    </row>
    <row r="29" spans="1:2" x14ac:dyDescent="0.35">
      <c r="A29" s="5"/>
    </row>
    <row r="30" spans="1:2" x14ac:dyDescent="0.35">
      <c r="A30" s="5" t="s">
        <v>232</v>
      </c>
    </row>
    <row r="31" spans="1:2" x14ac:dyDescent="0.35">
      <c r="A31" s="5"/>
    </row>
    <row r="32" spans="1:2" x14ac:dyDescent="0.35">
      <c r="A32" s="5" t="s">
        <v>233</v>
      </c>
    </row>
    <row r="33" spans="1:2" x14ac:dyDescent="0.35">
      <c r="A33" s="5"/>
    </row>
    <row r="34" spans="1:2" x14ac:dyDescent="0.35">
      <c r="A34" s="5" t="s">
        <v>234</v>
      </c>
    </row>
    <row r="35" spans="1:2" x14ac:dyDescent="0.35">
      <c r="A35" s="5"/>
    </row>
    <row r="36" spans="1:2" x14ac:dyDescent="0.35">
      <c r="A36" s="5" t="s">
        <v>235</v>
      </c>
    </row>
    <row r="37" spans="1:2" x14ac:dyDescent="0.35">
      <c r="A37" s="5"/>
    </row>
    <row r="38" spans="1:2" x14ac:dyDescent="0.35">
      <c r="A38" s="5" t="s">
        <v>236</v>
      </c>
    </row>
    <row r="40" spans="1:2" x14ac:dyDescent="0.35">
      <c r="A40" t="s">
        <v>237</v>
      </c>
    </row>
    <row r="44" spans="1:2" ht="23.5" x14ac:dyDescent="0.35">
      <c r="A44" s="4" t="s">
        <v>238</v>
      </c>
    </row>
    <row r="46" spans="1:2" x14ac:dyDescent="0.35">
      <c r="A46" s="11" t="s">
        <v>202</v>
      </c>
      <c r="B46" s="11" t="s">
        <v>148</v>
      </c>
    </row>
    <row r="47" spans="1:2" x14ac:dyDescent="0.35">
      <c r="A47" s="12">
        <v>0</v>
      </c>
      <c r="B47" s="12" t="s">
        <v>203</v>
      </c>
    </row>
    <row r="48" spans="1:2" x14ac:dyDescent="0.35">
      <c r="A48" s="12">
        <v>1</v>
      </c>
      <c r="B48" s="12" t="s">
        <v>239</v>
      </c>
    </row>
    <row r="49" spans="1:2" x14ac:dyDescent="0.35">
      <c r="A49" s="12">
        <v>2</v>
      </c>
      <c r="B49" s="12" t="s">
        <v>240</v>
      </c>
    </row>
    <row r="50" spans="1:2" x14ac:dyDescent="0.35">
      <c r="A50" s="12">
        <v>3</v>
      </c>
      <c r="B50" s="12" t="s">
        <v>241</v>
      </c>
    </row>
    <row r="51" spans="1:2" x14ac:dyDescent="0.35">
      <c r="A51" s="12">
        <v>4</v>
      </c>
      <c r="B51" s="12" t="s">
        <v>242</v>
      </c>
    </row>
    <row r="53" spans="1:2" x14ac:dyDescent="0.35">
      <c r="A53" s="8" t="s">
        <v>243</v>
      </c>
    </row>
    <row r="54" spans="1:2" x14ac:dyDescent="0.35">
      <c r="A54" t="s">
        <v>244</v>
      </c>
    </row>
    <row r="58" spans="1:2" ht="23.5" x14ac:dyDescent="0.35">
      <c r="A58" s="4" t="s">
        <v>245</v>
      </c>
    </row>
    <row r="60" spans="1:2" ht="17.5" x14ac:dyDescent="0.35">
      <c r="A60" s="10" t="s">
        <v>246</v>
      </c>
    </row>
    <row r="61" spans="1:2" x14ac:dyDescent="0.35">
      <c r="A61" s="5"/>
    </row>
    <row r="62" spans="1:2" x14ac:dyDescent="0.35">
      <c r="A62" s="5" t="s">
        <v>247</v>
      </c>
    </row>
    <row r="63" spans="1:2" x14ac:dyDescent="0.35">
      <c r="A63" s="5"/>
    </row>
    <row r="64" spans="1:2" x14ac:dyDescent="0.35">
      <c r="A64" s="5" t="s">
        <v>248</v>
      </c>
    </row>
    <row r="65" spans="1:1" x14ac:dyDescent="0.35">
      <c r="A65" s="5"/>
    </row>
    <row r="66" spans="1:1" x14ac:dyDescent="0.35">
      <c r="A66" s="5" t="s">
        <v>249</v>
      </c>
    </row>
    <row r="67" spans="1:1" x14ac:dyDescent="0.35">
      <c r="A67" s="5"/>
    </row>
    <row r="68" spans="1:1" x14ac:dyDescent="0.35">
      <c r="A68" s="5" t="s">
        <v>250</v>
      </c>
    </row>
    <row r="70" spans="1:1" ht="17.5" x14ac:dyDescent="0.35">
      <c r="A70" s="10" t="s">
        <v>251</v>
      </c>
    </row>
    <row r="71" spans="1:1" x14ac:dyDescent="0.35">
      <c r="A71" s="5"/>
    </row>
    <row r="72" spans="1:1" x14ac:dyDescent="0.35">
      <c r="A72" s="5" t="s">
        <v>252</v>
      </c>
    </row>
    <row r="73" spans="1:1" x14ac:dyDescent="0.35">
      <c r="A73" s="5"/>
    </row>
    <row r="74" spans="1:1" x14ac:dyDescent="0.35">
      <c r="A74" s="5" t="s">
        <v>253</v>
      </c>
    </row>
    <row r="75" spans="1:1" x14ac:dyDescent="0.35">
      <c r="A75" s="5"/>
    </row>
    <row r="76" spans="1:1" x14ac:dyDescent="0.35">
      <c r="A76" s="5" t="s">
        <v>254</v>
      </c>
    </row>
    <row r="77" spans="1:1" x14ac:dyDescent="0.35">
      <c r="A77" s="5"/>
    </row>
    <row r="78" spans="1:1" x14ac:dyDescent="0.35">
      <c r="A78" s="5" t="s">
        <v>255</v>
      </c>
    </row>
    <row r="80" spans="1:1" ht="17.5" x14ac:dyDescent="0.35">
      <c r="A80" s="10" t="s">
        <v>256</v>
      </c>
    </row>
    <row r="81" spans="1:1" x14ac:dyDescent="0.35">
      <c r="A81" s="5"/>
    </row>
    <row r="82" spans="1:1" x14ac:dyDescent="0.35">
      <c r="A82" s="5" t="s">
        <v>257</v>
      </c>
    </row>
    <row r="83" spans="1:1" x14ac:dyDescent="0.35">
      <c r="A83" s="5"/>
    </row>
    <row r="84" spans="1:1" x14ac:dyDescent="0.35">
      <c r="A84" s="5" t="s">
        <v>258</v>
      </c>
    </row>
    <row r="85" spans="1:1" x14ac:dyDescent="0.35">
      <c r="A85" s="5"/>
    </row>
    <row r="86" spans="1:1" x14ac:dyDescent="0.35">
      <c r="A86" s="5" t="s">
        <v>259</v>
      </c>
    </row>
    <row r="87" spans="1:1" x14ac:dyDescent="0.35">
      <c r="A87" s="5"/>
    </row>
    <row r="88" spans="1:1" x14ac:dyDescent="0.35">
      <c r="A88" s="5" t="s">
        <v>260</v>
      </c>
    </row>
    <row r="92" spans="1:1" ht="23.5" x14ac:dyDescent="0.35">
      <c r="A92" s="4" t="s">
        <v>261</v>
      </c>
    </row>
    <row r="94" spans="1:1" x14ac:dyDescent="0.35">
      <c r="A94" t="s">
        <v>262</v>
      </c>
    </row>
    <row r="95" spans="1:1" x14ac:dyDescent="0.35">
      <c r="A95" s="5"/>
    </row>
    <row r="96" spans="1:1" x14ac:dyDescent="0.35">
      <c r="A96" s="9" t="s">
        <v>263</v>
      </c>
    </row>
    <row r="97" spans="1:2" x14ac:dyDescent="0.35">
      <c r="A97" s="5"/>
    </row>
    <row r="98" spans="1:2" x14ac:dyDescent="0.35">
      <c r="A98" s="9" t="s">
        <v>264</v>
      </c>
    </row>
    <row r="99" spans="1:2" x14ac:dyDescent="0.35">
      <c r="A99" s="5"/>
    </row>
    <row r="100" spans="1:2" x14ac:dyDescent="0.35">
      <c r="A100" s="9" t="s">
        <v>204</v>
      </c>
    </row>
    <row r="104" spans="1:2" ht="23.5" x14ac:dyDescent="0.35">
      <c r="A104" s="4" t="s">
        <v>265</v>
      </c>
    </row>
    <row r="106" spans="1:2" x14ac:dyDescent="0.35">
      <c r="A106" s="11" t="s">
        <v>147</v>
      </c>
      <c r="B106" s="11" t="s">
        <v>148</v>
      </c>
    </row>
    <row r="107" spans="1:2" x14ac:dyDescent="0.35">
      <c r="A107" s="12">
        <v>0</v>
      </c>
      <c r="B107" s="12" t="s">
        <v>149</v>
      </c>
    </row>
    <row r="108" spans="1:2" x14ac:dyDescent="0.35">
      <c r="A108" s="12">
        <v>1</v>
      </c>
      <c r="B108" s="12" t="s">
        <v>266</v>
      </c>
    </row>
    <row r="109" spans="1:2" x14ac:dyDescent="0.35">
      <c r="A109" s="12">
        <v>2</v>
      </c>
      <c r="B109" s="12" t="s">
        <v>151</v>
      </c>
    </row>
    <row r="110" spans="1:2" x14ac:dyDescent="0.35">
      <c r="A110" s="12">
        <v>3</v>
      </c>
      <c r="B110" s="12" t="s">
        <v>267</v>
      </c>
    </row>
    <row r="112" spans="1:2" x14ac:dyDescent="0.35">
      <c r="A112" t="s">
        <v>268</v>
      </c>
    </row>
    <row r="116" spans="1:1" ht="23.5" x14ac:dyDescent="0.35">
      <c r="A116" s="4" t="s">
        <v>269</v>
      </c>
    </row>
    <row r="117" spans="1:1" x14ac:dyDescent="0.35">
      <c r="A117" s="5"/>
    </row>
    <row r="118" spans="1:1" x14ac:dyDescent="0.35">
      <c r="A118" s="5" t="s">
        <v>270</v>
      </c>
    </row>
    <row r="119" spans="1:1" x14ac:dyDescent="0.35">
      <c r="A119" s="5"/>
    </row>
    <row r="120" spans="1:1" x14ac:dyDescent="0.35">
      <c r="A120" s="5" t="s">
        <v>271</v>
      </c>
    </row>
    <row r="121" spans="1:1" x14ac:dyDescent="0.35">
      <c r="A121" s="5"/>
    </row>
    <row r="122" spans="1:1" x14ac:dyDescent="0.35">
      <c r="A122" s="5" t="s">
        <v>272</v>
      </c>
    </row>
    <row r="126" spans="1:1" ht="23.5" x14ac:dyDescent="0.35">
      <c r="A126" s="4" t="s">
        <v>273</v>
      </c>
    </row>
    <row r="128" spans="1:1" x14ac:dyDescent="0.35">
      <c r="A128" t="s">
        <v>274</v>
      </c>
    </row>
    <row r="129" spans="1:1" x14ac:dyDescent="0.35">
      <c r="A129" s="5"/>
    </row>
    <row r="130" spans="1:1" x14ac:dyDescent="0.35">
      <c r="A130" s="5" t="s">
        <v>275</v>
      </c>
    </row>
    <row r="131" spans="1:1" x14ac:dyDescent="0.35">
      <c r="A131" s="5"/>
    </row>
    <row r="132" spans="1:1" x14ac:dyDescent="0.35">
      <c r="A132" s="5" t="s">
        <v>276</v>
      </c>
    </row>
    <row r="133" spans="1:1" x14ac:dyDescent="0.35">
      <c r="A133" s="5"/>
    </row>
    <row r="134" spans="1:1" x14ac:dyDescent="0.35">
      <c r="A134" s="5" t="s">
        <v>277</v>
      </c>
    </row>
    <row r="135" spans="1:1" x14ac:dyDescent="0.35">
      <c r="A135" s="5"/>
    </row>
    <row r="136" spans="1:1" x14ac:dyDescent="0.35">
      <c r="A136" s="5" t="s">
        <v>278</v>
      </c>
    </row>
    <row r="137" spans="1:1" x14ac:dyDescent="0.35">
      <c r="A137" s="5"/>
    </row>
    <row r="138" spans="1:1" x14ac:dyDescent="0.35">
      <c r="A138" s="5" t="s">
        <v>279</v>
      </c>
    </row>
    <row r="142" spans="1:1" ht="23.5" x14ac:dyDescent="0.35">
      <c r="A142" s="4" t="s">
        <v>280</v>
      </c>
    </row>
    <row r="144" spans="1:1" x14ac:dyDescent="0.35">
      <c r="A144" t="s">
        <v>281</v>
      </c>
    </row>
    <row r="145" spans="1:1" x14ac:dyDescent="0.35">
      <c r="A145" s="5"/>
    </row>
    <row r="146" spans="1:1" x14ac:dyDescent="0.35">
      <c r="A146" s="5" t="s">
        <v>282</v>
      </c>
    </row>
    <row r="147" spans="1:1" x14ac:dyDescent="0.35">
      <c r="A147" s="5"/>
    </row>
    <row r="148" spans="1:1" x14ac:dyDescent="0.35">
      <c r="A148" s="5" t="s">
        <v>283</v>
      </c>
    </row>
    <row r="149" spans="1:1" x14ac:dyDescent="0.35">
      <c r="A149" s="5"/>
    </row>
    <row r="150" spans="1:1" x14ac:dyDescent="0.35">
      <c r="A150" s="5" t="s">
        <v>284</v>
      </c>
    </row>
    <row r="151" spans="1:1" x14ac:dyDescent="0.35">
      <c r="A151" s="5"/>
    </row>
    <row r="152" spans="1:1" x14ac:dyDescent="0.35">
      <c r="A152" s="5" t="s">
        <v>285</v>
      </c>
    </row>
    <row r="156" spans="1:1" x14ac:dyDescent="0.35">
      <c r="A156" s="8"/>
    </row>
    <row r="161" spans="1:1" x14ac:dyDescent="0.35">
      <c r="A161" s="5"/>
    </row>
    <row r="162" spans="1:1" x14ac:dyDescent="0.35">
      <c r="A162" s="5"/>
    </row>
    <row r="163" spans="1:1" x14ac:dyDescent="0.35">
      <c r="A163" s="5"/>
    </row>
    <row r="164" spans="1:1" x14ac:dyDescent="0.35">
      <c r="A164" s="5"/>
    </row>
    <row r="165" spans="1:1" x14ac:dyDescent="0.35">
      <c r="A165" s="5"/>
    </row>
    <row r="166" spans="1:1" x14ac:dyDescent="0.35">
      <c r="A166" s="5"/>
    </row>
    <row r="167" spans="1:1" x14ac:dyDescent="0.35">
      <c r="A167" s="5"/>
    </row>
    <row r="168" spans="1:1" x14ac:dyDescent="0.35">
      <c r="A168" s="5"/>
    </row>
  </sheetData>
  <pageMargins left="0.7" right="0.7" top="0.75" bottom="0.75" header="0.3" footer="0.3"/>
  <headerFooter>
    <oddHeader>&amp;C&amp;"Aptos"&amp;11&amp;K000000 Internal&amp;1#_x000D_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Scoring Matrix</vt:lpstr>
      <vt:lpstr>Metrics Table</vt:lpstr>
      <vt:lpstr>AI Landscape &amp; Scope (Evaluate)</vt:lpstr>
      <vt:lpstr>Strategic Alignment &amp; Direction</vt:lpstr>
      <vt:lpstr>AI Risk Posture Summary</vt:lpstr>
      <vt:lpstr>Performance &amp; Risk Indicators</vt:lpstr>
      <vt:lpstr>Incidents &amp; Compliance(Monitor)</vt:lpstr>
      <vt:lpstr>Risk Treatment &amp; Actions</vt:lpstr>
      <vt:lpstr>Assurance &amp; Continuous Imprmt</vt:lpstr>
      <vt:lpstr>Decisions Required from Board</vt:lpstr>
      <vt:lpstr>Sheet10</vt:lpstr>
      <vt:lpstr>Dashboard &amp; Assessor Guide</vt:lpstr>
      <vt:lpstr>Introduction&amp; Assessor Guidance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 Dhanker</dc:creator>
  <cp:lastModifiedBy>Vik Dhanker</cp:lastModifiedBy>
  <dcterms:created xsi:type="dcterms:W3CDTF">2025-12-18T17:10:20Z</dcterms:created>
  <dcterms:modified xsi:type="dcterms:W3CDTF">2026-01-13T16:56:24Z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40d2544-b60a-43e7-b997-17bebe313d3a_Enabled">
    <vt:lpwstr>true</vt:lpwstr>
  </property>
  <property fmtid="{D5CDD505-2E9C-101B-9397-08002B2CF9AE}" pid="3" name="MSIP_Label_840d2544-b60a-43e7-b997-17bebe313d3a_SetDate">
    <vt:lpwstr>2025-12-18T18:49:40Z</vt:lpwstr>
  </property>
  <property fmtid="{D5CDD505-2E9C-101B-9397-08002B2CF9AE}" pid="4" name="MSIP_Label_840d2544-b60a-43e7-b997-17bebe313d3a_Method">
    <vt:lpwstr>Privileged</vt:lpwstr>
  </property>
  <property fmtid="{D5CDD505-2E9C-101B-9397-08002B2CF9AE}" pid="5" name="MSIP_Label_840d2544-b60a-43e7-b997-17bebe313d3a_Name">
    <vt:lpwstr>Internal - Marked</vt:lpwstr>
  </property>
  <property fmtid="{D5CDD505-2E9C-101B-9397-08002B2CF9AE}" pid="6" name="MSIP_Label_840d2544-b60a-43e7-b997-17bebe313d3a_SiteId">
    <vt:lpwstr>54946ffc-68d3-4955-ac70-dca726d445b4</vt:lpwstr>
  </property>
  <property fmtid="{D5CDD505-2E9C-101B-9397-08002B2CF9AE}" pid="7" name="MSIP_Label_840d2544-b60a-43e7-b997-17bebe313d3a_ActionId">
    <vt:lpwstr>bc603724-f950-40d6-ba85-6bfccf81a978</vt:lpwstr>
  </property>
  <property fmtid="{D5CDD505-2E9C-101B-9397-08002B2CF9AE}" pid="8" name="MSIP_Label_840d2544-b60a-43e7-b997-17bebe313d3a_ContentBits">
    <vt:lpwstr>1</vt:lpwstr>
  </property>
  <property fmtid="{D5CDD505-2E9C-101B-9397-08002B2CF9AE}" pid="9" name="MSIP_Label_840d2544-b60a-43e7-b997-17bebe313d3a_Tag">
    <vt:lpwstr>10, 0, 1, 1</vt:lpwstr>
  </property>
</Properties>
</file>