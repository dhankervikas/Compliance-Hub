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bsigroup-my.sharepoint.com/personal/vikas_dhanker_bsigroup_com/Documents/Documents/AI Foundation Framework/"/>
    </mc:Choice>
  </mc:AlternateContent>
  <xr:revisionPtr revIDLastSave="956" documentId="8_{DA20570D-EA7F-4350-B6E7-C7B15FCEDA45}" xr6:coauthVersionLast="47" xr6:coauthVersionMax="47" xr10:uidLastSave="{7492A69A-638F-40DC-A88F-3436022F6DE8}"/>
  <bookViews>
    <workbookView xWindow="-110" yWindow="-110" windowWidth="19420" windowHeight="10300" activeTab="1" xr2:uid="{B2CB6D09-4D99-4DA0-94E8-DB93B01B59F1}"/>
  </bookViews>
  <sheets>
    <sheet name="Introduction" sheetId="5" r:id="rId1"/>
    <sheet name="Scoring Matrix" sheetId="1" r:id="rId2"/>
    <sheet name="Domain Summary" sheetId="3" r:id="rId3"/>
    <sheet name="Radar Data" sheetId="4" r:id="rId4"/>
    <sheet name="Methodology" sheetId="2" r:id="rId5"/>
    <sheet name="Mapping" sheetId="7" r:id="rId6"/>
    <sheet name="Abbreviations"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0" i="1" l="1"/>
  <c r="I99" i="1"/>
  <c r="I98" i="1"/>
  <c r="I97" i="1"/>
  <c r="I96" i="1"/>
  <c r="I95" i="1"/>
  <c r="B17" i="3"/>
  <c r="B18" i="4" s="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B4" i="3" l="1"/>
  <c r="B5" i="4" s="1"/>
  <c r="B6" i="3"/>
  <c r="B7" i="4" s="1"/>
  <c r="B2" i="3"/>
  <c r="B3" i="4" s="1"/>
  <c r="B15" i="3"/>
  <c r="B16" i="4" s="1"/>
  <c r="B8" i="3"/>
  <c r="B9" i="4" s="1"/>
  <c r="B5" i="3"/>
  <c r="B6" i="4" s="1"/>
  <c r="B10" i="3"/>
  <c r="B11" i="4" s="1"/>
  <c r="B12" i="3"/>
  <c r="B13" i="4" s="1"/>
  <c r="B16" i="3"/>
  <c r="B17" i="4" s="1"/>
  <c r="B14" i="3"/>
  <c r="B15" i="4" s="1"/>
  <c r="B7" i="3"/>
  <c r="B8" i="4" s="1"/>
  <c r="B9" i="3"/>
  <c r="B10" i="4" s="1"/>
  <c r="B13" i="3"/>
  <c r="B14" i="4" s="1"/>
  <c r="B11" i="3"/>
  <c r="B12" i="4" s="1"/>
  <c r="B3" i="3"/>
  <c r="B4" i="4" s="1"/>
</calcChain>
</file>

<file path=xl/sharedStrings.xml><?xml version="1.0" encoding="utf-8"?>
<sst xmlns="http://schemas.openxmlformats.org/spreadsheetml/2006/main" count="1625" uniqueCount="1121">
  <si>
    <t>Clause No.</t>
  </si>
  <si>
    <t>Clause Description</t>
  </si>
  <si>
    <t>Requirements Summary</t>
  </si>
  <si>
    <t>Test Procedure</t>
  </si>
  <si>
    <t>Evidence to Be Seen</t>
  </si>
  <si>
    <t>Mitigation of AI-Specific Threats</t>
  </si>
  <si>
    <t>Lifecycle Security Integration</t>
  </si>
  <si>
    <t>AI Security Indicators</t>
  </si>
  <si>
    <t>Model Integrity Validation</t>
  </si>
  <si>
    <t>Alerting &amp; Response</t>
  </si>
  <si>
    <t>Monitoring Documentation</t>
  </si>
  <si>
    <t>AI Systems in Scope</t>
  </si>
  <si>
    <t>Risk Identification</t>
  </si>
  <si>
    <t>Risk Analysis</t>
  </si>
  <si>
    <t>Risk Evaluation</t>
  </si>
  <si>
    <t>Risk Treatment</t>
  </si>
  <si>
    <t>Risk Acceptance</t>
  </si>
  <si>
    <t>A.5.1</t>
  </si>
  <si>
    <t>Access Management</t>
  </si>
  <si>
    <t>A.5.2</t>
  </si>
  <si>
    <t>API Security</t>
  </si>
  <si>
    <t>A.5.3</t>
  </si>
  <si>
    <t>Environment Hardening</t>
  </si>
  <si>
    <t>A.5.4</t>
  </si>
  <si>
    <t>Resource Abuse Protection</t>
  </si>
  <si>
    <t>A.6.1</t>
  </si>
  <si>
    <t>A.6.2</t>
  </si>
  <si>
    <t>A.6.3</t>
  </si>
  <si>
    <t>A.7.1</t>
  </si>
  <si>
    <t>A.7.2</t>
  </si>
  <si>
    <t>A.7.3</t>
  </si>
  <si>
    <t>A.7.4</t>
  </si>
  <si>
    <t>A.8.1</t>
  </si>
  <si>
    <t>A.8.2</t>
  </si>
  <si>
    <t>A.8.3</t>
  </si>
  <si>
    <t>A.9.1</t>
  </si>
  <si>
    <t>A.9.2</t>
  </si>
  <si>
    <t>A.9.3</t>
  </si>
  <si>
    <t>A.10.1</t>
  </si>
  <si>
    <t>A.10.2</t>
  </si>
  <si>
    <t>A.10.3</t>
  </si>
  <si>
    <t>The organization shall identify all AI models, datasets, APIs, pipelines, and components. All AI systems shall be classified by cybersecurity risk, including AI-specific risks such as poisoning, adversarial manipulation, model extraction, drift, prompt injection, and supply chain vulnerabilities. System boundaries, dependencies, and owners must be defined.</t>
  </si>
  <si>
    <t>AI Lifecycle Processes in Scope</t>
  </si>
  <si>
    <t>The organization shall define all applicable lifecycle stages for each AI system, including data collection, data preparation, model development, training, testing/validation, deployment, operation/inference, monitoring, maintenance, and decommissioning. Each lifecycle stage must consider AI-specific cybersecurity risks such as poisoning during data collection, adversarial testing risks, drift during operation, and pipeline compromise. Responsibilities for each stage must be clearly assigned.</t>
  </si>
  <si>
    <t>Organizational and Technical Boundaries</t>
  </si>
  <si>
    <t>The organization shall define all organizational, system, and technical boundaries relevant to AI systems. Boundaries must cover internal vs. external responsibilities, cloud/on-prem/hybrid environments, third-party AI services, data sources, integration points, and infrastructure components. Cybersecurity risks resulting from unclear or unmanaged boundaries—such as API exposure, model extraction, data leakage, supply chain compromise, pipeline tampering, and access control gaps—must be identified and addressed.</t>
  </si>
  <si>
    <t>Internal and External Issues</t>
  </si>
  <si>
    <t>The organization shall identify internal and external issues that may impact the security of AI systems. Issues shall include regulatory obligations, emerging AI threat landscape, skills and resource limitations, supplier and technology dependencies, data quality challenges, and environmental factors. Identified issues must be reviewed periodically and incorporated into AI cybersecurity risk assessment.</t>
  </si>
  <si>
    <t>Interested Parties and Their Requirements</t>
  </si>
  <si>
    <t>The organization shall identify all relevant internal and external interested parties related to AI systems and determine their cybersecurity, privacy, safety, operational, and compliance requirements. These requirements must be documented, reviewed periodically, and incorporated into AI security governance and risk management processes. Interested parties shall include regulators, customers, users, business owners, IT/security teams, suppliers, and third-party AI service providers.</t>
  </si>
  <si>
    <t>AI Security Objectives – Protection of AI Assets</t>
  </si>
  <si>
    <t>The organization shall define documented AI security objectives to protect AI models, datasets, pipelines, APIs, and supporting infrastructure. Objectives must align with the organization’s AI risk assessment, cover confidentiality, integrity, availability, and robustness of AI systems, and address AI-specific threats such as poisoning, adversarial manipulation, model extraction, prompt injection, and drift. Objectives shall be measurable, monitored, and approved by management.</t>
  </si>
  <si>
    <t>Confidentiality, Integrity, and Availability (CIA) Requirements for AI Systems</t>
  </si>
  <si>
    <t>The organization shall define CIA requirements specifically for AI models, datasets, pipelines, APIs, and supporting infrastructure. CIA requirements must reflect the sensitivity of training data, model IP protection, operational reliability, and exposure to AI-specific cybersecurity threats such as model tampering, data poisoning, adversarial manipulation, model extraction, unauthorized access, and inference abuse. CIA requirements shall be documented, measurable, and reviewed regularly.</t>
  </si>
  <si>
    <t>The organization shall define security objectives that explicitly address mitigation of AI-specific cybersecurity threats. These objectives must cover data poisoning, adversarial inputs, model evasion attacks, model inversion, membership inference, model extraction, LLM prompt injection, API abuse, drift-induced vulnerabilities, and supply chain risks affecting models, datasets, and pipelines. Objectives shall be linked to controls and risk treatments.</t>
  </si>
  <si>
    <r>
      <t>Definition of Threat-Focused Objectives</t>
    </r>
    <r>
      <rPr>
        <sz val="11"/>
        <color theme="1"/>
        <rFont val="Aptos Narrow"/>
        <family val="2"/>
        <scheme val="minor"/>
      </rPr>
      <t>• Have AI security objectives been defined to address specific AI cybersecurity threats (poisoning, adversarial attacks, model evasion, extraction, inversion, prompt injection, etc.)?• Do objectives include preventive, detective, and corrective capabilities?</t>
    </r>
    <r>
      <rPr>
        <b/>
        <sz val="11"/>
        <color theme="1"/>
        <rFont val="Aptos Narrow"/>
        <family val="2"/>
        <scheme val="minor"/>
      </rPr>
      <t>Risk Alignment</t>
    </r>
    <r>
      <rPr>
        <sz val="11"/>
        <color theme="1"/>
        <rFont val="Aptos Narrow"/>
        <family val="2"/>
        <scheme val="minor"/>
      </rPr>
      <t>• Are threat-mitigation objectives tied to the AI risk assessment and risk treatment plans?• Do objectives reflect the risk level and exposure of each AI system (public-facing API vs internal pipeline, LLM vs classifier)?</t>
    </r>
    <r>
      <rPr>
        <b/>
        <sz val="11"/>
        <color theme="1"/>
        <rFont val="Aptos Narrow"/>
        <family val="2"/>
        <scheme val="minor"/>
      </rPr>
      <t>Coverage of AI Threat Categories</t>
    </r>
    <r>
      <rPr>
        <sz val="11"/>
        <color theme="1"/>
        <rFont val="Aptos Narrow"/>
        <family val="2"/>
        <scheme val="minor"/>
      </rPr>
      <t>• Do objectives cover the following categories:– Data integrity threats (poisoning, tampering)?– Model integrity threats (evasion, adversarial perturbations)?– Model confidentiality threats (extraction, inversion, inference)?– LLM-specific threats (prompt injection, jailbreak attempts)?– Pipeline/supply chain attacks (malicious components, compromised libraries)?– Drift-related vulnerabilities (concept drift, data drift)?</t>
    </r>
    <r>
      <rPr>
        <b/>
        <sz val="11"/>
        <color theme="1"/>
        <rFont val="Aptos Narrow"/>
        <family val="2"/>
        <scheme val="minor"/>
      </rPr>
      <t>Control Linkage</t>
    </r>
    <r>
      <rPr>
        <sz val="11"/>
        <color theme="1"/>
        <rFont val="Aptos Narrow"/>
        <family val="2"/>
        <scheme val="minor"/>
      </rPr>
      <t>• Are objectives mapped to controls in Annex A (monitoring, hardening, access control, model validation, incident response)?</t>
    </r>
    <r>
      <rPr>
        <b/>
        <sz val="11"/>
        <color theme="1"/>
        <rFont val="Aptos Narrow"/>
        <family val="2"/>
        <scheme val="minor"/>
      </rPr>
      <t>Review &amp; Approval</t>
    </r>
    <r>
      <rPr>
        <sz val="11"/>
        <color theme="1"/>
        <rFont val="Aptos Narrow"/>
        <family val="2"/>
        <scheme val="minor"/>
      </rPr>
      <t>• Are objectives approved by relevant governance bodies?• Are threat-mitigation objectives updated when new AI threats emerge?</t>
    </r>
  </si>
  <si>
    <t>• Documented AI threat-mitigation objectives.• AI risk assessment identifying AI-specific cybersecurity threats.• Mapping of objectives to AI risks and Annex A controls.• Threat intelligence reports considered during objective setting.• Governance meeting minutes approving objectives.• Records showing periodic review and updates of objectives.• Evidence of monitoring and metrics related to threat mitigation (drift alerts, adversarial detection logs, API security logs).</t>
  </si>
  <si>
    <t>The organization shall ensure that AI security objectives are applied consistently across every stage of the AI lifecycle, including data collection, preparation, model development, training, testing, deployment, inference, monitoring, maintenance, and decommissioning. AI-specific cybersecurity threats—such as poisoning during data ingestion, adversarial risk during testing, tampering during deployment, drift during operation, and supply chain risks—must be addressed at the appropriate lifecycle stage. Responsibilities for implementing controls shall be clearly assigned.</t>
  </si>
  <si>
    <r>
      <t>Lifecycle Security Mapping</t>
    </r>
    <r>
      <rPr>
        <sz val="11"/>
        <color theme="1"/>
        <rFont val="Aptos Narrow"/>
        <family val="2"/>
        <scheme val="minor"/>
      </rPr>
      <t>• Has the organization mapped AI security objectives to each lifecycle stage (data → model → deployment → monitoring → retirement)?• Are the lifecycle stages documented and aligned with actual operational practices?</t>
    </r>
    <r>
      <rPr>
        <b/>
        <sz val="11"/>
        <color theme="1"/>
        <rFont val="Aptos Narrow"/>
        <family val="2"/>
        <scheme val="minor"/>
      </rPr>
      <t>Coverage of AI-Specific Threats by Lifecycle Stage</t>
    </r>
    <r>
      <rPr>
        <sz val="11"/>
        <color theme="1"/>
        <rFont val="Aptos Narrow"/>
        <family val="2"/>
        <scheme val="minor"/>
      </rPr>
      <t>• Does the lifecycle address:– Data poisoning &amp; integrity threats during data collection and preparation?– Adversarial and robustness testing during model evaluation?– Model tampering, supply chain compromise, and unauthorized changes during deployment?– Drift, evasion, inference abuse, and model extraction threats during operation?– Secure archival or destruction of models/data during decommissioning?</t>
    </r>
    <r>
      <rPr>
        <b/>
        <sz val="11"/>
        <color theme="1"/>
        <rFont val="Aptos Narrow"/>
        <family val="2"/>
        <scheme val="minor"/>
      </rPr>
      <t>Integration with Controls and Risk Management</t>
    </r>
    <r>
      <rPr>
        <sz val="11"/>
        <color theme="1"/>
        <rFont val="Aptos Narrow"/>
        <family val="2"/>
        <scheme val="minor"/>
      </rPr>
      <t>• Are lifecycle security activities integrated with risk assessment, monitoring, and incident response?• Does the organization update lifecycle security controls when risks change?</t>
    </r>
    <r>
      <rPr>
        <b/>
        <sz val="11"/>
        <color theme="1"/>
        <rFont val="Aptos Narrow"/>
        <family val="2"/>
        <scheme val="minor"/>
      </rPr>
      <t>Responsibility Assignment</t>
    </r>
    <r>
      <rPr>
        <sz val="11"/>
        <color theme="1"/>
        <rFont val="Aptos Narrow"/>
        <family val="2"/>
        <scheme val="minor"/>
      </rPr>
      <t>• Are owners assigned for each lifecycle stage (data owners, model owners, pipeline engineers, security teams)?• Are roles and responsibilities documented and communicated?</t>
    </r>
    <r>
      <rPr>
        <b/>
        <sz val="11"/>
        <color theme="1"/>
        <rFont val="Aptos Narrow"/>
        <family val="2"/>
        <scheme val="minor"/>
      </rPr>
      <t>Review &amp; Maintenance</t>
    </r>
    <r>
      <rPr>
        <sz val="11"/>
        <color theme="1"/>
        <rFont val="Aptos Narrow"/>
        <family val="2"/>
        <scheme val="minor"/>
      </rPr>
      <t>• Are lifecycle security activities reviewed periodically and updated as technology, threats, or processes evolve?</t>
    </r>
  </si>
  <si>
    <t>• AI lifecycle documentation covering all stages.• Mapping of lifecycle stages to AI security objectives.• SOPs for each lifecycle phase including security steps.• Threat modeling or risk assessments aligned with lifecycle stages.• Evidence of adversarial testing, drift monitoring, data validation, deployment approval, and integrity checks.• RACI or ownership matrix for lifecycle responsibilities.• Version-controlled updates to lifecycle documents.• Records showing periodic review and lifecycle updates.</t>
  </si>
  <si>
    <t>Compliance &amp; Trustworthiness Objectives</t>
  </si>
  <si>
    <t>The organization shall define AI security objectives that ensure compliance with applicable legal, regulatory, contractual, and internal requirements. Objectives shall also address trustworthiness dimensions, including transparency, reliability, robustness, explainability (as applicable), and safety. AI systems must meet expectations of regulators, customers, internal governance bodies, and external stakeholders. Objectives must be measurable, documented, reviewed periodically, and integrated into AI governance processes.</t>
  </si>
  <si>
    <r>
      <t>Compliance Requirements Identification</t>
    </r>
    <r>
      <rPr>
        <sz val="11"/>
        <color theme="1"/>
        <rFont val="Aptos Narrow"/>
        <family val="2"/>
        <scheme val="minor"/>
      </rPr>
      <t>• Has the organization identified all regulatory, legal, and contractual requirements relevant to AI cybersecurity, privacy, safety, and operational use?• Have sector-specific AI requirements (finance, healthcare, critical infrastructure, government) been identified?</t>
    </r>
    <r>
      <rPr>
        <b/>
        <sz val="11"/>
        <color theme="1"/>
        <rFont val="Aptos Narrow"/>
        <family val="2"/>
        <scheme val="minor"/>
      </rPr>
      <t>Trustworthiness Requirements</t>
    </r>
    <r>
      <rPr>
        <sz val="11"/>
        <color theme="1"/>
        <rFont val="Aptos Narrow"/>
        <family val="2"/>
        <scheme val="minor"/>
      </rPr>
      <t>• Have trustworthiness expectations been defined, including transparency, reliability, robustness, safety, and explainability (as applicable)?• Do objectives consider the risks of misleading outputs, unsafe behavior, hallucinations, or unintended consequences in AI systems?</t>
    </r>
    <r>
      <rPr>
        <b/>
        <sz val="11"/>
        <color theme="1"/>
        <rFont val="Aptos Narrow"/>
        <family val="2"/>
        <scheme val="minor"/>
      </rPr>
      <t>Integration With AI Governance and Risk Management</t>
    </r>
    <r>
      <rPr>
        <sz val="11"/>
        <color theme="1"/>
        <rFont val="Aptos Narrow"/>
        <family val="2"/>
        <scheme val="minor"/>
      </rPr>
      <t>• Are compliance and trustworthiness objectives aligned with the AI risk assessment and treatment plans?• Are requirements integrated into design, development, deployment, monitoring, and incident response processes?</t>
    </r>
    <r>
      <rPr>
        <b/>
        <sz val="11"/>
        <color theme="1"/>
        <rFont val="Aptos Narrow"/>
        <family val="2"/>
        <scheme val="minor"/>
      </rPr>
      <t>Measurability &amp; Monitoring</t>
    </r>
    <r>
      <rPr>
        <sz val="11"/>
        <color theme="1"/>
        <rFont val="Aptos Narrow"/>
        <family val="2"/>
        <scheme val="minor"/>
      </rPr>
      <t>• Are trust and compliance objectives measurable and supported by KPIs or defined performance indicators?• Are objectives monitored and reviewed by governance bodies?</t>
    </r>
    <r>
      <rPr>
        <b/>
        <sz val="11"/>
        <color theme="1"/>
        <rFont val="Aptos Narrow"/>
        <family val="2"/>
        <scheme val="minor"/>
      </rPr>
      <t>Periodic Review &amp; Approval</t>
    </r>
    <r>
      <rPr>
        <sz val="11"/>
        <color theme="1"/>
        <rFont val="Aptos Narrow"/>
        <family val="2"/>
        <scheme val="minor"/>
      </rPr>
      <t>• Are objectives reviewed and updated as laws, regulations, standards, and business needs evolve?• Has senior management or AI governance committee approved these objectives?</t>
    </r>
  </si>
  <si>
    <t>• Compliance requirement register (AI, privacy, security, sectoral rules).• Documented trustworthiness objectives.• Mapping of compliance/trust objectives to AI risk assessments and controls.• Contractual or regulatory requirement documentation (customer requirements, SLAs).• Governance meeting minutes approving objectives.• Performance dashboards or KPI logs monitoring trustworthiness measures.• Evidence of periodic reviews and updates to objectives.• Policies or SOPs reflecting compliance and trust requirements.</t>
  </si>
  <si>
    <t>Measurable AI Security Goals and KPIs</t>
  </si>
  <si>
    <t>The organization shall ensure that AI security objectives are supported by measurable goals and KPIs. Metrics shall enable tracking of cybersecurity performance across AI models, datasets, pipelines, and APIs. KPIs must reflect AI-specific risks such as drift, adversarial attempts, poisoning indicators, model integrity failures, and inference abuse. Goals shall be reviewed, monitored, and used to drive continuous improvement.</t>
  </si>
  <si>
    <r>
      <t>Definition of Metrics &amp; KPIs</t>
    </r>
    <r>
      <rPr>
        <sz val="11"/>
        <color theme="1"/>
        <rFont val="Aptos Narrow"/>
        <family val="2"/>
        <scheme val="minor"/>
      </rPr>
      <t>• Have measurable goals been defined for each AI security objective?• Are KPIs established for monitoring AI security performance (e.g., number of drift alerts, adversarial detection rate, failed integrity checks, unusual inference patterns)?</t>
    </r>
    <r>
      <rPr>
        <b/>
        <sz val="11"/>
        <color theme="1"/>
        <rFont val="Aptos Narrow"/>
        <family val="2"/>
        <scheme val="minor"/>
      </rPr>
      <t>Coverage of AI-Specific Risk Indicators</t>
    </r>
    <r>
      <rPr>
        <sz val="11"/>
        <color theme="1"/>
        <rFont val="Aptos Narrow"/>
        <family val="2"/>
        <scheme val="minor"/>
      </rPr>
      <t>• Do KPIs include monitoring for AI-specific risks, such as:– Drift (concept/data drift alerts)– Adversarial input detection events– Data poisoning indicators– Model integrity or signature mismatches– API abuse or excessive inference calls– Prompt injection or LLM misuse attempts?</t>
    </r>
    <r>
      <rPr>
        <b/>
        <sz val="11"/>
        <color theme="1"/>
        <rFont val="Aptos Narrow"/>
        <family val="2"/>
        <scheme val="minor"/>
      </rPr>
      <t>Monitoring &amp; Reporting</t>
    </r>
    <r>
      <rPr>
        <sz val="11"/>
        <color theme="1"/>
        <rFont val="Aptos Narrow"/>
        <family val="2"/>
        <scheme val="minor"/>
      </rPr>
      <t>• Are KPIs tracked on a defined schedule (daily/weekly/monthly)?• Are metrics reviewed by AI governance or security teams?• Are trends analyzed to detect degradation or emerging threats?</t>
    </r>
    <r>
      <rPr>
        <b/>
        <sz val="11"/>
        <color theme="1"/>
        <rFont val="Aptos Narrow"/>
        <family val="2"/>
        <scheme val="minor"/>
      </rPr>
      <t>Use of KPIs for Improvement</t>
    </r>
    <r>
      <rPr>
        <sz val="11"/>
        <color theme="1"/>
        <rFont val="Aptos Narrow"/>
        <family val="2"/>
        <scheme val="minor"/>
      </rPr>
      <t>• Are KPI results used to adjust security controls, update risk assessments, or modify processes?</t>
    </r>
    <r>
      <rPr>
        <b/>
        <sz val="11"/>
        <color theme="1"/>
        <rFont val="Aptos Narrow"/>
        <family val="2"/>
        <scheme val="minor"/>
      </rPr>
      <t>Review &amp; Approval</t>
    </r>
    <r>
      <rPr>
        <sz val="11"/>
        <color theme="1"/>
        <rFont val="Aptos Narrow"/>
        <family val="2"/>
        <scheme val="minor"/>
      </rPr>
      <t>• Are KPIs and targets approved by management?• Are metrics reviewed periodically and updated to reflect new risks or system changes?</t>
    </r>
  </si>
  <si>
    <t>• Documented AI security KPIs and measurable goals.• KPI dashboards or monitoring reports (drift logs, adversarial detection logs, anomaly alerts).• Model integrity verification reports.• API usage analytics showing rate limits and anomaly detection.• Trend analysis reports for security indicators.• Governance meeting minutes reviewing KPI performance.• Evidence of improvements initiated based on KPI trends.• Records showing periodic review and updates of KPIs.</t>
  </si>
  <si>
    <t>Monitoring of AI Security Controls</t>
  </si>
  <si>
    <t>The organization shall monitor AI security controls to ensure they are functioning effectively across all AI lifecycle stages. Monitoring shall cover data pipelines, model behavior, system access, inference patterns, adversarial indicators, API usage, and environmental conditions. Monitoring must detect AI-specific cybersecurity threats such as data poisoning, drift, adversarial activity, model tampering, prompt injection, and inference abuse. Monitoring requirements shall be documented and reviewed periodically.</t>
  </si>
  <si>
    <r>
      <t>Monitoring Coverage</t>
    </r>
    <r>
      <rPr>
        <sz val="11"/>
        <color theme="1"/>
        <rFont val="Aptos Narrow"/>
        <family val="2"/>
        <scheme val="minor"/>
      </rPr>
      <t>• Are all AI security controls being monitored (access controls, integrity checks, drift detection, adversarial detection, pipeline monitoring)?• Does monitoring include all AI lifecycle stages: data ingestion → training → testing → deployment → inference → drift and anomaly detection?</t>
    </r>
    <r>
      <rPr>
        <b/>
        <sz val="11"/>
        <color theme="1"/>
        <rFont val="Aptos Narrow"/>
        <family val="2"/>
        <scheme val="minor"/>
      </rPr>
      <t>AI-Specific Monitoring Questions</t>
    </r>
    <r>
      <rPr>
        <sz val="11"/>
        <color theme="1"/>
        <rFont val="Aptos Narrow"/>
        <family val="2"/>
        <scheme val="minor"/>
      </rPr>
      <t>• Is data monitored for poisoning indicators or quality anomalies?• Is model behavior monitored for:– Drift (concept or data drift)?– Adversarial responses?– Unexpected output patterns?– LLM hallucinations or unsafe outputs?• Are model integrity mechanisms (signatures, hashing) monitored for tampering?• Are APIs monitored for suspicious or abnormal inference traffic (model extraction attempts, rate overuse)?• Are LLM prompts monitored for prompt injection or jailbreak attempts?</t>
    </r>
    <r>
      <rPr>
        <b/>
        <sz val="11"/>
        <color theme="1"/>
        <rFont val="Aptos Narrow"/>
        <family val="2"/>
        <scheme val="minor"/>
      </rPr>
      <t>Alerting &amp; Escalation</t>
    </r>
    <r>
      <rPr>
        <sz val="11"/>
        <color theme="1"/>
        <rFont val="Aptos Narrow"/>
        <family val="2"/>
        <scheme val="minor"/>
      </rPr>
      <t>• Do monitoring tools generate timely alerts for anomalous or malicious events?• Are alert thresholds appropriate for AI-specific threats?• Are alerts routed to responsible teams with defined escalation paths?</t>
    </r>
    <r>
      <rPr>
        <b/>
        <sz val="11"/>
        <color theme="1"/>
        <rFont val="Aptos Narrow"/>
        <family val="2"/>
        <scheme val="minor"/>
      </rPr>
      <t>Monitoring Process &amp; Documentation</t>
    </r>
    <r>
      <rPr>
        <sz val="11"/>
        <color theme="1"/>
        <rFont val="Aptos Narrow"/>
        <family val="2"/>
        <scheme val="minor"/>
      </rPr>
      <t>• Are monitoring procedures documented and current?• Are monitoring logs reviewed regularly?• Has monitoring been tested for effectiveness?</t>
    </r>
    <r>
      <rPr>
        <b/>
        <sz val="11"/>
        <color theme="1"/>
        <rFont val="Aptos Narrow"/>
        <family val="2"/>
        <scheme val="minor"/>
      </rPr>
      <t>Review &amp; Improvement</t>
    </r>
    <r>
      <rPr>
        <sz val="11"/>
        <color theme="1"/>
        <rFont val="Aptos Narrow"/>
        <family val="2"/>
        <scheme val="minor"/>
      </rPr>
      <t>• Are monitoring processes updated when new AI threats emerge?• Are metrics from monitoring used to update risk assessments?</t>
    </r>
  </si>
  <si>
    <t>• Monitoring dashboards and logs (drift alerts, anomaly detection, adversarial detection).• Pipeline monitoring logs (data flow anomalies, unauthorized changes).• API monitoring reports (rate limits, anomalies, extraction attempts).• Model integrity verification logs (hash mismatch, signature checks).• LLM prompt monitoring/audit logs (prompt injection detection).• Alert configuration documentation (thresholds, routing rules).• Incident tickets triggered by monitoring alerts.• Monitoring SOPs and updated procedures.• Review logs from governance or security meetings.• Evidence of tuning/improvement of monitoring processes.</t>
  </si>
  <si>
    <t>The organization shall define and monitor AI security indicators that reflect the security health of AI models, datasets, pipelines, APIs, and LLM components. Indicators must detect AI-specific cybersecurity risks such as drift, adversarial probing, data poisoning, model extraction attempts, model degradation, prompt injection, misuse, and abnormal inference patterns. Indicators must be measurable, continuously monitored, and aligned with risk levels.</t>
  </si>
  <si>
    <r>
      <t>Definition of Security Indicators</t>
    </r>
    <r>
      <rPr>
        <sz val="11"/>
        <color theme="1"/>
        <rFont val="Aptos Narrow"/>
        <family val="2"/>
        <scheme val="minor"/>
      </rPr>
      <t>• Has the organization defined AI security indicators that reflect risks and performance (e.g., drift alerts, anomaly detection, adversarial signal rates)?• Are indicators tailored to model type (classification, regression, LLM, generative model, API-based inference)?</t>
    </r>
    <r>
      <rPr>
        <b/>
        <sz val="11"/>
        <color theme="1"/>
        <rFont val="Aptos Narrow"/>
        <family val="2"/>
        <scheme val="minor"/>
      </rPr>
      <t>Coverage of AI-Specific Threats</t>
    </r>
    <r>
      <rPr>
        <sz val="11"/>
        <color theme="1"/>
        <rFont val="Aptos Narrow"/>
        <family val="2"/>
        <scheme val="minor"/>
      </rPr>
      <t>• Do indicators monitor for:– Data poisoning or data anomalies?– Model drift (data drift, concept drift)?– Adversarial input detection events?– Unauthorized changes or model integrity failures?– Model extraction attempts through high-frequency or systematic queries?– Prompt injection or jailbreak attempts in LLMs?– Inference abuse or abnormal access patterns?</t>
    </r>
    <r>
      <rPr>
        <b/>
        <sz val="11"/>
        <color theme="1"/>
        <rFont val="Aptos Narrow"/>
        <family val="2"/>
        <scheme val="minor"/>
      </rPr>
      <t>Thresholds &amp; Trigger Conditions</t>
    </r>
    <r>
      <rPr>
        <sz val="11"/>
        <color theme="1"/>
        <rFont val="Aptos Narrow"/>
        <family val="2"/>
        <scheme val="minor"/>
      </rPr>
      <t>• Are thresholds defined for when indicators trigger alerts?• Are thresholds based on risk level and system criticality?</t>
    </r>
    <r>
      <rPr>
        <b/>
        <sz val="11"/>
        <color theme="1"/>
        <rFont val="Aptos Narrow"/>
        <family val="2"/>
        <scheme val="minor"/>
      </rPr>
      <t>Monitoring &amp; Review Mechanism</t>
    </r>
    <r>
      <rPr>
        <sz val="11"/>
        <color theme="1"/>
        <rFont val="Aptos Narrow"/>
        <family val="2"/>
        <scheme val="minor"/>
      </rPr>
      <t>• Are indicators reviewed regularly to ensure relevance?• Are indicator trends analyzed to identify changes in behavior or emerging risks?</t>
    </r>
    <r>
      <rPr>
        <b/>
        <sz val="11"/>
        <color theme="1"/>
        <rFont val="Aptos Narrow"/>
        <family val="2"/>
        <scheme val="minor"/>
      </rPr>
      <t>Alignment With Governance and Risk Management</t>
    </r>
    <r>
      <rPr>
        <sz val="11"/>
        <color theme="1"/>
        <rFont val="Aptos Narrow"/>
        <family val="2"/>
        <scheme val="minor"/>
      </rPr>
      <t>• Are indicator results fed into risk assessment updates and control adjustments?• Are indicators approved and reviewed by AI governance or security teams?</t>
    </r>
  </si>
  <si>
    <t>• Documented AI security indicators list.• Threshold definitions for indicators (drift severity levels, alert conditions).• Logs and dashboards showing indicator monitoring outputs.• Historical trend analysis reports for indicators.• Model performance monitoring logs tied to security triggers.• Adversarial detection system reports.• API interaction analytics (rate limits, abnormal queries).• LLM monitoring logs (prompt injection, jailbreak attempts).• Governance meeting minutes approving and reviewing indicators.• Risk assessment updates reflecting indicator outputs.</t>
  </si>
  <si>
    <t>The organization shall ensure the integrity of AI models throughout the lifecycle. Models shall be validated before deployment and periodically during operation to detect unauthorized modifications, corruption, tampering, adversarial interference, or supply chain compromise. Integrity validation shall apply to model files, weights, parameters, configurations, and associated artifacts stored in model registries or deployment environments.</t>
  </si>
  <si>
    <r>
      <t>Integrity Validation Mechanisms</t>
    </r>
    <r>
      <rPr>
        <sz val="11"/>
        <color theme="1"/>
        <rFont val="Aptos Narrow"/>
        <family val="2"/>
        <scheme val="minor"/>
      </rPr>
      <t>• Are model integrity controls implemented (hashing, digital signatures, versioning, registry protections)?• Are integrity checks performed before deployment and at scheduled intervals?</t>
    </r>
    <r>
      <rPr>
        <b/>
        <sz val="11"/>
        <color theme="1"/>
        <rFont val="Aptos Narrow"/>
        <family val="2"/>
        <scheme val="minor"/>
      </rPr>
      <t>Scope of Integrity Validation</t>
    </r>
    <r>
      <rPr>
        <sz val="11"/>
        <color theme="1"/>
        <rFont val="Aptos Narrow"/>
        <family val="2"/>
        <scheme val="minor"/>
      </rPr>
      <t>• Do integrity checks apply to:– Model weights and parameter files?– Model configuration files?– Preprocessing and pipeline components?– Third-party or open-source model dependencies?</t>
    </r>
    <r>
      <rPr>
        <b/>
        <sz val="11"/>
        <color theme="1"/>
        <rFont val="Aptos Narrow"/>
        <family val="2"/>
        <scheme val="minor"/>
      </rPr>
      <t>AI-Specific Risk Coverage</t>
    </r>
    <r>
      <rPr>
        <sz val="11"/>
        <color theme="1"/>
        <rFont val="Aptos Narrow"/>
        <family val="2"/>
        <scheme val="minor"/>
      </rPr>
      <t>• Do integrity controls detect risks such as:– Unauthorized model tampering?– Poisoned or manipulated models?– Adversarial model corruption?– Compromised versions in a model registry?</t>
    </r>
    <r>
      <rPr>
        <b/>
        <sz val="11"/>
        <color theme="1"/>
        <rFont val="Aptos Narrow"/>
        <family val="2"/>
        <scheme val="minor"/>
      </rPr>
      <t>Model Registry Security</t>
    </r>
    <r>
      <rPr>
        <sz val="11"/>
        <color theme="1"/>
        <rFont val="Aptos Narrow"/>
        <family val="2"/>
        <scheme val="minor"/>
      </rPr>
      <t>• Is the model registry protected via RBAC, access logs, and integrity constraints?• Are model versions immutable or tracked with version history?</t>
    </r>
    <r>
      <rPr>
        <b/>
        <sz val="11"/>
        <color theme="1"/>
        <rFont val="Aptos Narrow"/>
        <family val="2"/>
        <scheme val="minor"/>
      </rPr>
      <t>Validation Process &amp; Review</t>
    </r>
    <r>
      <rPr>
        <sz val="11"/>
        <color theme="1"/>
        <rFont val="Aptos Narrow"/>
        <family val="2"/>
        <scheme val="minor"/>
      </rPr>
      <t>• Is there a documented SOP for model integrity validation?• Are failed integrity checks escalated and addressed?• Are integrity validation results reviewed regularly?</t>
    </r>
    <r>
      <rPr>
        <b/>
        <sz val="11"/>
        <color theme="1"/>
        <rFont val="Aptos Narrow"/>
        <family val="2"/>
        <scheme val="minor"/>
      </rPr>
      <t>Traceability</t>
    </r>
    <r>
      <rPr>
        <sz val="11"/>
        <color theme="1"/>
        <rFont val="Aptos Narrow"/>
        <family val="2"/>
        <scheme val="minor"/>
      </rPr>
      <t>• Are all deployed models traceable to their approved version and validation record?</t>
    </r>
  </si>
  <si>
    <t>• Model hashing/signature logs.• Integrity check reports (pre-deployment and periodic).• Model registry access logs and version history.• Documentation of registry security controls.• Alerts or tickets related to integrity check failures.• SOPs and workflows for model validation.• Deployment approvals showing validated model versions.• Evidence of periodic integrity validation reviews.• Change logs for model updates or retraining.</t>
  </si>
  <si>
    <t>Performance–Security Link</t>
  </si>
  <si>
    <t>The organization shall monitor how AI model performance impacts security. Declines in model performance—such as accuracy drops, increased error rates, instability, or abnormal behavior—shall be evaluated as potential security risks, including drift, adversarial exploitation, poisoning, or model degradation. Security monitoring and performance monitoring must be interconnected to ensure early detection of vulnerabilities.</t>
  </si>
  <si>
    <r>
      <t>Link Between Performance &amp; Security</t>
    </r>
    <r>
      <rPr>
        <sz val="11"/>
        <color theme="1"/>
        <rFont val="Aptos Narrow"/>
        <family val="2"/>
        <scheme val="minor"/>
      </rPr>
      <t>• Has the organization defined how performance degradation may indicate security risk (e.g., drift, poisoning, adversarial activity)?• Are performance metrics connected to security alerts or review processes?</t>
    </r>
    <r>
      <rPr>
        <b/>
        <sz val="11"/>
        <color theme="1"/>
        <rFont val="Aptos Narrow"/>
        <family val="2"/>
        <scheme val="minor"/>
      </rPr>
      <t>Monitoring of Performance Metrics</t>
    </r>
    <r>
      <rPr>
        <sz val="11"/>
        <color theme="1"/>
        <rFont val="Aptos Narrow"/>
        <family val="2"/>
        <scheme val="minor"/>
      </rPr>
      <t>• Are performance metrics such as accuracy, precision, error rates, false positives/negatives, or LLM output quality monitored continuously?• Do monitoring tools detect sudden or unexplained performance changes?</t>
    </r>
    <r>
      <rPr>
        <b/>
        <sz val="11"/>
        <color theme="1"/>
        <rFont val="Aptos Narrow"/>
        <family val="2"/>
        <scheme val="minor"/>
      </rPr>
      <t>AI-Specific Threat Evaluation</t>
    </r>
    <r>
      <rPr>
        <sz val="11"/>
        <color theme="1"/>
        <rFont val="Aptos Narrow"/>
        <family val="2"/>
        <scheme val="minor"/>
      </rPr>
      <t>• When performance degrades, does the organization evaluate whether the cause could be:– Data poisoning?– Adversarial attacks/evasion?– Drift (concept or data drift)?– Degraded or corrupted model parameters?– Supply chain compromise?</t>
    </r>
    <r>
      <rPr>
        <b/>
        <sz val="11"/>
        <color theme="1"/>
        <rFont val="Aptos Narrow"/>
        <family val="2"/>
        <scheme val="minor"/>
      </rPr>
      <t>Integration With Risk Management</t>
    </r>
    <r>
      <rPr>
        <sz val="11"/>
        <color theme="1"/>
        <rFont val="Aptos Narrow"/>
        <family val="2"/>
        <scheme val="minor"/>
      </rPr>
      <t>• Are performance anomalies entered into risk registers or investigations?• Does the organization adjust controls or retrain models based on performance–security findings?</t>
    </r>
    <r>
      <rPr>
        <b/>
        <sz val="11"/>
        <color theme="1"/>
        <rFont val="Aptos Narrow"/>
        <family val="2"/>
        <scheme val="minor"/>
      </rPr>
      <t>Governance &amp; Review</t>
    </r>
    <r>
      <rPr>
        <sz val="11"/>
        <color theme="1"/>
        <rFont val="Aptos Narrow"/>
        <family val="2"/>
        <scheme val="minor"/>
      </rPr>
      <t>• Are performance–security linkages reviewed regularly by AI governance/security teams?• Are response actions documented and tracked?</t>
    </r>
    <r>
      <rPr>
        <b/>
        <sz val="11"/>
        <color theme="1"/>
        <rFont val="Aptos Narrow"/>
        <family val="2"/>
        <scheme val="minor"/>
      </rPr>
      <t>Trigger Conditions</t>
    </r>
    <r>
      <rPr>
        <sz val="11"/>
        <color theme="1"/>
        <rFont val="Aptos Narrow"/>
        <family val="2"/>
        <scheme val="minor"/>
      </rPr>
      <t>• Are thresholds defined for when performance issues become security-relevant?</t>
    </r>
    <r>
      <rPr>
        <b/>
        <sz val="11"/>
        <color theme="1"/>
        <rFont val="Aptos Narrow"/>
        <family val="2"/>
        <scheme val="minor"/>
      </rPr>
      <t>Communication</t>
    </r>
    <r>
      <rPr>
        <sz val="11"/>
        <color theme="1"/>
        <rFont val="Aptos Narrow"/>
        <family val="2"/>
        <scheme val="minor"/>
      </rPr>
      <t>• Are relevant teams notified when performance anomalies suggest a security threat?</t>
    </r>
  </si>
  <si>
    <t>• Performance monitoring dashboards and logs.• Drift detection reports and alerts.• Adversarial or anomaly detection logs triggered by performance drops.• Incident tickets or investigations tied to performance issues.• SOPs linking performance monitoring to security evaluation.• Governance meeting minutes discussing performance–security alignment.• Threshold documentation for performance-based alerts.• Corrective actions or retraining logs following performance deterioration.• Change logs for model updates triggered by performance concerns.</t>
  </si>
  <si>
    <t>The organization shall ensure that AI security monitoring generates timely and meaningful alerts for anomalous or malicious activity. Alerts shall be based on AI-specific risks such as data poisoning, adversarial inputs, model drift, model extraction attempts, prompt injection, LLM jailbreak attempts, API abuse, and unauthorized access. Clear escalation procedures must be defined, documented, and consistently followed. Alerts must integrate with security operations and incident response processes.</t>
  </si>
  <si>
    <r>
      <t>Alerting Mechanisms</t>
    </r>
    <r>
      <rPr>
        <sz val="11"/>
        <color theme="1"/>
        <rFont val="Aptos Narrow"/>
        <family val="2"/>
        <scheme val="minor"/>
      </rPr>
      <t>• Are alerting mechanisms configured for AI-specific threats (drift, poisoning, adversarial inputs, prompt injection, extraction attempts)?• Do alerts trigger in real time or within defined thresholds?• Are alert thresholds based on risk and system criticality?</t>
    </r>
    <r>
      <rPr>
        <b/>
        <sz val="11"/>
        <color theme="1"/>
        <rFont val="Aptos Narrow"/>
        <family val="2"/>
        <scheme val="minor"/>
      </rPr>
      <t>Coverage of AI-Specific Threats</t>
    </r>
    <r>
      <rPr>
        <sz val="11"/>
        <color theme="1"/>
        <rFont val="Aptos Narrow"/>
        <family val="2"/>
        <scheme val="minor"/>
      </rPr>
      <t>• Are alerts generated for:– Data poisoning indicators?– Drift detection (data and concept drift)?– Adversarial probing or evasion attempts?– Model integrity failures?– Unauthorized access to model registry or datasets?– Excessive or abnormal inference/API usage suggestive of extraction?– Prompt injection or jailbreak attempts in LLM systems?</t>
    </r>
    <r>
      <rPr>
        <b/>
        <sz val="11"/>
        <color theme="1"/>
        <rFont val="Aptos Narrow"/>
        <family val="2"/>
        <scheme val="minor"/>
      </rPr>
      <t>Escalation Procedures</t>
    </r>
    <r>
      <rPr>
        <sz val="11"/>
        <color theme="1"/>
        <rFont val="Aptos Narrow"/>
        <family val="2"/>
        <scheme val="minor"/>
      </rPr>
      <t>• Are clear escalation paths defined for handling AI-related security alerts?• Are alerts routed to appropriate teams such as security operations, AI engineers, or governance bodies?• Are responsibilities for triage, investigation, and response documented?</t>
    </r>
    <r>
      <rPr>
        <b/>
        <sz val="11"/>
        <color theme="1"/>
        <rFont val="Aptos Narrow"/>
        <family val="2"/>
        <scheme val="minor"/>
      </rPr>
      <t>Integration with Incident Response</t>
    </r>
    <r>
      <rPr>
        <sz val="11"/>
        <color theme="1"/>
        <rFont val="Aptos Narrow"/>
        <family val="2"/>
        <scheme val="minor"/>
      </rPr>
      <t>• Do AI alerts automatically integrate into the broader incident response system (e.g., SIEM, SOAR)?• Are alerts treated with the same rigor as traditional cybersecurity incidents when relevant?</t>
    </r>
    <r>
      <rPr>
        <b/>
        <sz val="11"/>
        <color theme="1"/>
        <rFont val="Aptos Narrow"/>
        <family val="2"/>
        <scheme val="minor"/>
      </rPr>
      <t>Testing &amp; Effectiveness</t>
    </r>
    <r>
      <rPr>
        <sz val="11"/>
        <color theme="1"/>
        <rFont val="Aptos Narrow"/>
        <family val="2"/>
        <scheme val="minor"/>
      </rPr>
      <t>• Are alerting mechanisms tested regularly for accuracy, noise reduction, and timeliness?• Are false positives and false negatives monitored and improved?</t>
    </r>
    <r>
      <rPr>
        <b/>
        <sz val="11"/>
        <color theme="1"/>
        <rFont val="Aptos Narrow"/>
        <family val="2"/>
        <scheme val="minor"/>
      </rPr>
      <t>Review &amp; Continuous Improvement</t>
    </r>
    <r>
      <rPr>
        <sz val="11"/>
        <color theme="1"/>
        <rFont val="Aptos Narrow"/>
        <family val="2"/>
        <scheme val="minor"/>
      </rPr>
      <t>• Are alert trends reviewed periodically?• Are alert rules updated based on new threats or system behavior changes?</t>
    </r>
  </si>
  <si>
    <t>• AI alert configuration documentation.• SIEM/SOAR alert logs containing AI threat-related triggers.• Drift detection alerts.• Adversarial detection alerts.• LLM prompt injection or jailbreak attempt logs.• API usage analytics with anomaly alerts.• Model integrity failure alert logs.• Escalation workflow diagrams and procedures.• Incident tickets tied to AI alerts.• Evidence of alert testing (simulations, playbooks).• Governance meeting minutes reviewing alert trends.• Records of updates to alert thresholds or logic.</t>
  </si>
  <si>
    <t>The organization shall maintain documented procedures for monitoring AI systems, including data pipelines, model behavior, inference patterns, model integrity checks, adversarial detection, drift monitoring, and API activity. Documentation shall define monitoring scope, responsibilities, thresholds, alert conditions, logging requirements, and review cycles. Monitoring documentation must remain current, aligned with AI-specific risks, and updated when AI models, pipelines, tools, or threat landscapes change.</t>
  </si>
  <si>
    <r>
      <t>Documentation Completeness</t>
    </r>
    <r>
      <rPr>
        <sz val="11"/>
        <color theme="1"/>
        <rFont val="Aptos Narrow"/>
        <family val="2"/>
        <scheme val="minor"/>
      </rPr>
      <t>• Does the organization have documented procedures describing how AI monitoring is performed (datasets, models, pipelines, APIs, LLMs)?• Does the documentation define monitoring methods, tools, and frequency?</t>
    </r>
    <r>
      <rPr>
        <b/>
        <sz val="11"/>
        <color theme="1"/>
        <rFont val="Aptos Narrow"/>
        <family val="2"/>
        <scheme val="minor"/>
      </rPr>
      <t>Coverage of AI-Specific Risks</t>
    </r>
    <r>
      <rPr>
        <sz val="11"/>
        <color theme="1"/>
        <rFont val="Aptos Narrow"/>
        <family val="2"/>
        <scheme val="minor"/>
      </rPr>
      <t>• Does documentation include monitoring for AI-specific threats such as:– Data poisoning and anomalies?– Adversarial inputs or probing behavior?– Drift detection (data and concept drift)?– Unauthorized changes or model tampering?– Model extraction attempts via APIs?– Prompt injection/jailbreak attempts for LLMs?</t>
    </r>
    <r>
      <rPr>
        <b/>
        <sz val="11"/>
        <color theme="1"/>
        <rFont val="Aptos Narrow"/>
        <family val="2"/>
        <scheme val="minor"/>
      </rPr>
      <t>Roles &amp; Responsibilities</t>
    </r>
    <r>
      <rPr>
        <sz val="11"/>
        <color theme="1"/>
        <rFont val="Aptos Narrow"/>
        <family val="2"/>
        <scheme val="minor"/>
      </rPr>
      <t>• Are responsibilities defined for monitoring, reviewing alerts, and escalating concerns?• Is the responsible team identified (AI engineering, data science, security operations)?</t>
    </r>
    <r>
      <rPr>
        <b/>
        <sz val="11"/>
        <color theme="1"/>
        <rFont val="Aptos Narrow"/>
        <family val="2"/>
        <scheme val="minor"/>
      </rPr>
      <t>Logging Requirements</t>
    </r>
    <r>
      <rPr>
        <sz val="11"/>
        <color theme="1"/>
        <rFont val="Aptos Narrow"/>
        <family val="2"/>
        <scheme val="minor"/>
      </rPr>
      <t>• Does documentation define what logs must be captured (model outputs, access logs, pipeline logs, inference logs, API logs)?• Are retention periods and log integrity requirements defined?</t>
    </r>
    <r>
      <rPr>
        <b/>
        <sz val="11"/>
        <color theme="1"/>
        <rFont val="Aptos Narrow"/>
        <family val="2"/>
        <scheme val="minor"/>
      </rPr>
      <t>Alerting &amp; Thresholds</t>
    </r>
    <r>
      <rPr>
        <sz val="11"/>
        <color theme="1"/>
        <rFont val="Aptos Narrow"/>
        <family val="2"/>
        <scheme val="minor"/>
      </rPr>
      <t>• Are alert conditions, thresholds, and escalation timelines documented?• Are thresholds aligned with system risk levels?</t>
    </r>
    <r>
      <rPr>
        <b/>
        <sz val="11"/>
        <color theme="1"/>
        <rFont val="Aptos Narrow"/>
        <family val="2"/>
        <scheme val="minor"/>
      </rPr>
      <t>Review &amp; Update Requirements</t>
    </r>
    <r>
      <rPr>
        <sz val="11"/>
        <color theme="1"/>
        <rFont val="Aptos Narrow"/>
        <family val="2"/>
        <scheme val="minor"/>
      </rPr>
      <t>• Is monitoring documentation reviewed periodically?• Are updates performed when models or threats change (e.g., new adversarial techniques, new vulnerabilities)?</t>
    </r>
  </si>
  <si>
    <t>• Monitoring procedure documents (SOPs).• Documentation describing monitoring tools and configurations.• Defined monitoring requirements (what is monitored, how, and when).• AI-specific threat monitoring documentation (poisoning, drift, adversarial detection).• Log capture requirements and retention settings.• Escalation and alerting procedure documents.• RACI or responsibility matrix for monitoring activities.• Change logs or version history of monitoring documentation.• Evidence of periodic reviews and updates (meeting minutes, approval records).</t>
  </si>
  <si>
    <t>The organization shall identify AI-specific cybersecurity risks across the entire AI lifecycle. Risks must include data poisoning, model drift, adversarial perturbation, model inversion, membership inference, model evasion, prompt injection, model extraction, supply chain compromise, unauthorized access, and misuse of AI capabilities. Risk identification shall consider threat actors, vulnerabilities, system dependencies, external data sources, third-party models, and environmental/contextual factors.</t>
  </si>
  <si>
    <r>
      <t>Risk Identification Process</t>
    </r>
    <r>
      <rPr>
        <sz val="11"/>
        <color theme="1"/>
        <rFont val="Aptos Narrow"/>
        <family val="2"/>
        <scheme val="minor"/>
      </rPr>
      <t>• Does the organization use a structured method to identify AI cybersecurity risks?• Does the process cover all lifecycle stages (data → training → testing → deployment → inference → monitoring → decommissioning)?</t>
    </r>
    <r>
      <rPr>
        <b/>
        <sz val="11"/>
        <color theme="1"/>
        <rFont val="Aptos Narrow"/>
        <family val="2"/>
        <scheme val="minor"/>
      </rPr>
      <t>AI-Specific Threat Categories</t>
    </r>
    <r>
      <rPr>
        <sz val="11"/>
        <color theme="1"/>
        <rFont val="Aptos Narrow"/>
        <family val="2"/>
        <scheme val="minor"/>
      </rPr>
      <t xml:space="preserve">• Has the organization identified risks related to:– </t>
    </r>
    <r>
      <rPr>
        <b/>
        <sz val="11"/>
        <color theme="1"/>
        <rFont val="Aptos Narrow"/>
        <family val="2"/>
        <scheme val="minor"/>
      </rPr>
      <t>Data poisoning</t>
    </r>
    <r>
      <rPr>
        <sz val="11"/>
        <color theme="1"/>
        <rFont val="Aptos Narrow"/>
        <family val="2"/>
        <scheme val="minor"/>
      </rPr>
      <t xml:space="preserve"> (malicious contamination of training/inference data)?– </t>
    </r>
    <r>
      <rPr>
        <b/>
        <sz val="11"/>
        <color theme="1"/>
        <rFont val="Aptos Narrow"/>
        <family val="2"/>
        <scheme val="minor"/>
      </rPr>
      <t>Adversarial examples</t>
    </r>
    <r>
      <rPr>
        <sz val="11"/>
        <color theme="1"/>
        <rFont val="Aptos Narrow"/>
        <family val="2"/>
        <scheme val="minor"/>
      </rPr>
      <t xml:space="preserve"> (input manipulation to cause incorrect outputs)?– </t>
    </r>
    <r>
      <rPr>
        <b/>
        <sz val="11"/>
        <color theme="1"/>
        <rFont val="Aptos Narrow"/>
        <family val="2"/>
        <scheme val="minor"/>
      </rPr>
      <t>Model inversion</t>
    </r>
    <r>
      <rPr>
        <sz val="11"/>
        <color theme="1"/>
        <rFont val="Aptos Narrow"/>
        <family val="2"/>
        <scheme val="minor"/>
      </rPr>
      <t xml:space="preserve"> (extraction of training data from outputs)?– </t>
    </r>
    <r>
      <rPr>
        <b/>
        <sz val="11"/>
        <color theme="1"/>
        <rFont val="Aptos Narrow"/>
        <family val="2"/>
        <scheme val="minor"/>
      </rPr>
      <t>Membership inference</t>
    </r>
    <r>
      <rPr>
        <sz val="11"/>
        <color theme="1"/>
        <rFont val="Aptos Narrow"/>
        <family val="2"/>
        <scheme val="minor"/>
      </rPr>
      <t xml:space="preserve"> (determining whether data was used for training)?– </t>
    </r>
    <r>
      <rPr>
        <b/>
        <sz val="11"/>
        <color theme="1"/>
        <rFont val="Aptos Narrow"/>
        <family val="2"/>
        <scheme val="minor"/>
      </rPr>
      <t>Model evasion</t>
    </r>
    <r>
      <rPr>
        <sz val="11"/>
        <color theme="1"/>
        <rFont val="Aptos Narrow"/>
        <family val="2"/>
        <scheme val="minor"/>
      </rPr>
      <t xml:space="preserve"> (attacker bypasses detection or classification)?– </t>
    </r>
    <r>
      <rPr>
        <b/>
        <sz val="11"/>
        <color theme="1"/>
        <rFont val="Aptos Narrow"/>
        <family val="2"/>
        <scheme val="minor"/>
      </rPr>
      <t>Prompt injection</t>
    </r>
    <r>
      <rPr>
        <sz val="11"/>
        <color theme="1"/>
        <rFont val="Aptos Narrow"/>
        <family val="2"/>
        <scheme val="minor"/>
      </rPr>
      <t xml:space="preserve"> (LLM manipulation to override instructions)?– </t>
    </r>
    <r>
      <rPr>
        <b/>
        <sz val="11"/>
        <color theme="1"/>
        <rFont val="Aptos Narrow"/>
        <family val="2"/>
        <scheme val="minor"/>
      </rPr>
      <t>Model extraction</t>
    </r>
    <r>
      <rPr>
        <sz val="11"/>
        <color theme="1"/>
        <rFont val="Aptos Narrow"/>
        <family val="2"/>
        <scheme val="minor"/>
      </rPr>
      <t xml:space="preserve"> (stealing model functionality via repeated queries)?– </t>
    </r>
    <r>
      <rPr>
        <b/>
        <sz val="11"/>
        <color theme="1"/>
        <rFont val="Aptos Narrow"/>
        <family val="2"/>
        <scheme val="minor"/>
      </rPr>
      <t>Supply chain compromise</t>
    </r>
    <r>
      <rPr>
        <sz val="11"/>
        <color theme="1"/>
        <rFont val="Aptos Narrow"/>
        <family val="2"/>
        <scheme val="minor"/>
      </rPr>
      <t xml:space="preserve"> (vulnerabilities in open-source models/tools)?– </t>
    </r>
    <r>
      <rPr>
        <b/>
        <sz val="11"/>
        <color theme="1"/>
        <rFont val="Aptos Narrow"/>
        <family val="2"/>
        <scheme val="minor"/>
      </rPr>
      <t>Unauthorized access or tampering</t>
    </r>
    <r>
      <rPr>
        <sz val="11"/>
        <color theme="1"/>
        <rFont val="Aptos Narrow"/>
        <family val="2"/>
        <scheme val="minor"/>
      </rPr>
      <t xml:space="preserve"> (registry, weights, APIs)?</t>
    </r>
    <r>
      <rPr>
        <b/>
        <sz val="11"/>
        <color theme="1"/>
        <rFont val="Aptos Narrow"/>
        <family val="2"/>
        <scheme val="minor"/>
      </rPr>
      <t>Contextual Risk Sources</t>
    </r>
    <r>
      <rPr>
        <sz val="11"/>
        <color theme="1"/>
        <rFont val="Aptos Narrow"/>
        <family val="2"/>
        <scheme val="minor"/>
      </rPr>
      <t>• Are risks identified related to external data sources, third-party APIs, pretrained models, data brokers, cloud platforms?• Are environmental factors considered (regulatory requirements, domain-specific risks)?</t>
    </r>
    <r>
      <rPr>
        <b/>
        <sz val="11"/>
        <color theme="1"/>
        <rFont val="Aptos Narrow"/>
        <family val="2"/>
        <scheme val="minor"/>
      </rPr>
      <t>Stakeholder &amp; Dependency Evaluation</t>
    </r>
    <r>
      <rPr>
        <sz val="11"/>
        <color theme="1"/>
        <rFont val="Aptos Narrow"/>
        <family val="2"/>
        <scheme val="minor"/>
      </rPr>
      <t>• Were relevant stakeholders involved (data science, AI engineering, cybersecurity, legal, compliance)?• Are dependencies such as model hubs, open-source libraries, vector databases considered in risk identification?</t>
    </r>
    <r>
      <rPr>
        <b/>
        <sz val="11"/>
        <color theme="1"/>
        <rFont val="Aptos Narrow"/>
        <family val="2"/>
        <scheme val="minor"/>
      </rPr>
      <t>Completeness &amp; Review</t>
    </r>
    <r>
      <rPr>
        <sz val="11"/>
        <color theme="1"/>
        <rFont val="Aptos Narrow"/>
        <family val="2"/>
        <scheme val="minor"/>
      </rPr>
      <t>• Are risk catalogs or threat libraries referenced?• Are risks reviewed and updated periodically or when changes occur?</t>
    </r>
  </si>
  <si>
    <t>• Documented AI risk register including cybersecurity-related risks.• Threat modeling documents for AI systems.• Lifecycle-based risk identification analysis.• Logs showing identified poisoning, drift, or adversarial concerns.• Records of stakeholder workshops/interviews used for risk identification.• Risk source documentation (data flow diagrams, model dependency maps).• Supply chain dependency lists for AI tooling and models.• Meeting minutes showing periodic review of risks.• Updated risk catalogs or internal threat intelligence related to AI.</t>
  </si>
  <si>
    <t>The organization shall analyze identified AI cybersecurity risks to understand their likelihood, impact, exploitability, and relevance to AI system behavior. Risk analysis shall consider AI-specific vulnerabilities such as susceptibility to adversarial attacks, sensitivity to poisoned data, exposure of personal or proprietary information, model generalization weaknesses, and dependencies on external components. Analysis must quantify or qualify how risks may compromise confidentiality, integrity, availability, safety, or trustworthiness of AI systems.</t>
  </si>
  <si>
    <r>
      <t>Risk Analysis Method</t>
    </r>
    <r>
      <rPr>
        <sz val="11"/>
        <color theme="1"/>
        <rFont val="Aptos Narrow"/>
        <family val="2"/>
        <scheme val="minor"/>
      </rPr>
      <t>• Does the organization follow a documented process for analyzing AI cybersecurity risks?• Are likelihood and impact defined clearly (qualitative or quantitative)?</t>
    </r>
    <r>
      <rPr>
        <b/>
        <sz val="11"/>
        <color theme="1"/>
        <rFont val="Aptos Narrow"/>
        <family val="2"/>
        <scheme val="minor"/>
      </rPr>
      <t>AI-Specific Vulnerability Assessment</t>
    </r>
    <r>
      <rPr>
        <sz val="11"/>
        <color theme="1"/>
        <rFont val="Aptos Narrow"/>
        <family val="2"/>
        <scheme val="minor"/>
      </rPr>
      <t xml:space="preserve">• Does analysis consider:– Probability of successful </t>
    </r>
    <r>
      <rPr>
        <b/>
        <sz val="11"/>
        <color theme="1"/>
        <rFont val="Aptos Narrow"/>
        <family val="2"/>
        <scheme val="minor"/>
      </rPr>
      <t>data poisoning</t>
    </r>
    <r>
      <rPr>
        <sz val="11"/>
        <color theme="1"/>
        <rFont val="Aptos Narrow"/>
        <family val="2"/>
        <scheme val="minor"/>
      </rPr>
      <t xml:space="preserve">?– Ease of performing </t>
    </r>
    <r>
      <rPr>
        <b/>
        <sz val="11"/>
        <color theme="1"/>
        <rFont val="Aptos Narrow"/>
        <family val="2"/>
        <scheme val="minor"/>
      </rPr>
      <t>adversarial perturbations</t>
    </r>
    <r>
      <rPr>
        <sz val="11"/>
        <color theme="1"/>
        <rFont val="Aptos Narrow"/>
        <family val="2"/>
        <scheme val="minor"/>
      </rPr>
      <t xml:space="preserve">?– Risk of </t>
    </r>
    <r>
      <rPr>
        <b/>
        <sz val="11"/>
        <color theme="1"/>
        <rFont val="Aptos Narrow"/>
        <family val="2"/>
        <scheme val="minor"/>
      </rPr>
      <t>model inversion</t>
    </r>
    <r>
      <rPr>
        <sz val="11"/>
        <color theme="1"/>
        <rFont val="Aptos Narrow"/>
        <family val="2"/>
        <scheme val="minor"/>
      </rPr>
      <t xml:space="preserve"> or </t>
    </r>
    <r>
      <rPr>
        <b/>
        <sz val="11"/>
        <color theme="1"/>
        <rFont val="Aptos Narrow"/>
        <family val="2"/>
        <scheme val="minor"/>
      </rPr>
      <t>membership inference</t>
    </r>
    <r>
      <rPr>
        <sz val="11"/>
        <color theme="1"/>
        <rFont val="Aptos Narrow"/>
        <family val="2"/>
        <scheme val="minor"/>
      </rPr>
      <t xml:space="preserve"> leaks?– Exposure to </t>
    </r>
    <r>
      <rPr>
        <b/>
        <sz val="11"/>
        <color theme="1"/>
        <rFont val="Aptos Narrow"/>
        <family val="2"/>
        <scheme val="minor"/>
      </rPr>
      <t>model extraction</t>
    </r>
    <r>
      <rPr>
        <sz val="11"/>
        <color theme="1"/>
        <rFont val="Aptos Narrow"/>
        <family val="2"/>
        <scheme val="minor"/>
      </rPr>
      <t xml:space="preserve"> through APIs?– Susceptibility to </t>
    </r>
    <r>
      <rPr>
        <b/>
        <sz val="11"/>
        <color theme="1"/>
        <rFont val="Aptos Narrow"/>
        <family val="2"/>
        <scheme val="minor"/>
      </rPr>
      <t>model evasion</t>
    </r>
    <r>
      <rPr>
        <sz val="11"/>
        <color theme="1"/>
        <rFont val="Aptos Narrow"/>
        <family val="2"/>
        <scheme val="minor"/>
      </rPr>
      <t xml:space="preserve"> attacks?– LLM vulnerabilities such as </t>
    </r>
    <r>
      <rPr>
        <b/>
        <sz val="11"/>
        <color theme="1"/>
        <rFont val="Aptos Narrow"/>
        <family val="2"/>
        <scheme val="minor"/>
      </rPr>
      <t>prompt injection</t>
    </r>
    <r>
      <rPr>
        <sz val="11"/>
        <color theme="1"/>
        <rFont val="Aptos Narrow"/>
        <family val="2"/>
        <scheme val="minor"/>
      </rPr>
      <t xml:space="preserve">, </t>
    </r>
    <r>
      <rPr>
        <b/>
        <sz val="11"/>
        <color theme="1"/>
        <rFont val="Aptos Narrow"/>
        <family val="2"/>
        <scheme val="minor"/>
      </rPr>
      <t>hallucinations</t>
    </r>
    <r>
      <rPr>
        <sz val="11"/>
        <color theme="1"/>
        <rFont val="Aptos Narrow"/>
        <family val="2"/>
        <scheme val="minor"/>
      </rPr>
      <t xml:space="preserve">, and </t>
    </r>
    <r>
      <rPr>
        <b/>
        <sz val="11"/>
        <color theme="1"/>
        <rFont val="Aptos Narrow"/>
        <family val="2"/>
        <scheme val="minor"/>
      </rPr>
      <t>unsafe outputs</t>
    </r>
    <r>
      <rPr>
        <sz val="11"/>
        <color theme="1"/>
        <rFont val="Aptos Narrow"/>
        <family val="2"/>
        <scheme val="minor"/>
      </rPr>
      <t>?– Weaknesses in open-source or third-party AI components?</t>
    </r>
    <r>
      <rPr>
        <b/>
        <sz val="11"/>
        <color theme="1"/>
        <rFont val="Aptos Narrow"/>
        <family val="2"/>
        <scheme val="minor"/>
      </rPr>
      <t>Impact Assessment</t>
    </r>
    <r>
      <rPr>
        <sz val="11"/>
        <color theme="1"/>
        <rFont val="Aptos Narrow"/>
        <family val="2"/>
        <scheme val="minor"/>
      </rPr>
      <t>• Does analysis evaluate impact on:– Confidentiality (data leakage, inversion)?– Integrity (tampering, corruption, poisoning)?– Availability (resource exhaustion via inference attacks)?– Safety (unsafe outputs, harmful generation)?– Reliability &amp; trustworthiness?</t>
    </r>
    <r>
      <rPr>
        <b/>
        <sz val="11"/>
        <color theme="1"/>
        <rFont val="Aptos Narrow"/>
        <family val="2"/>
        <scheme val="minor"/>
      </rPr>
      <t>Contextual Factors</t>
    </r>
    <r>
      <rPr>
        <sz val="11"/>
        <color theme="1"/>
        <rFont val="Aptos Narrow"/>
        <family val="2"/>
        <scheme val="minor"/>
      </rPr>
      <t>• Are factors such as business criticality, model purpose, type of data, and deployment environment included?• Are domain-specific risks (healthcare, finance, legal, HR) assessed appropriately?</t>
    </r>
    <r>
      <rPr>
        <b/>
        <sz val="11"/>
        <color theme="1"/>
        <rFont val="Aptos Narrow"/>
        <family val="2"/>
        <scheme val="minor"/>
      </rPr>
      <t>Exploitability &amp; Threat Actor Profile</t>
    </r>
    <r>
      <rPr>
        <sz val="11"/>
        <color theme="1"/>
        <rFont val="Aptos Narrow"/>
        <family val="2"/>
        <scheme val="minor"/>
      </rPr>
      <t>• Does analysis consider attacker capability, resources, and motivation?• Does it assess ease of attack (e.g., open API vs internal model)?</t>
    </r>
    <r>
      <rPr>
        <b/>
        <sz val="11"/>
        <color theme="1"/>
        <rFont val="Aptos Narrow"/>
        <family val="2"/>
        <scheme val="minor"/>
      </rPr>
      <t>Documentation &amp; Review</t>
    </r>
    <r>
      <rPr>
        <sz val="11"/>
        <color theme="1"/>
        <rFont val="Aptos Narrow"/>
        <family val="2"/>
        <scheme val="minor"/>
      </rPr>
      <t>• Is the analysis documented, reviewed, and updated when system changes or threats evolve?</t>
    </r>
  </si>
  <si>
    <t>• Completed AI risk analysis documentation.• Risk scoring matrix defining likelihood and impact.• Technical assessment reports identifying AI vulnerabilities.• Adversarial sensitivity/robustness evaluations.• Drift assessment logs tied to risk implications.• Data poisoning susceptibility evaluations.• Model dependency analysis and vulnerability reports.• Threat modeling output including attacker profile analysis.• Meeting minutes evidencing risk analysis review.• Version history showing updates to analysis.</t>
  </si>
  <si>
    <t>The organization shall evaluate analyzed AI cybersecurity risks to determine which risks are acceptable, which require treatment, and which require monitoring. Evaluation shall compare risk levels against defined AI-specific risk criteria based on the organization’s risk appetite, regulatory obligations, stakeholder expectations, and the potential impact of AI failures on security, privacy, safety, and trustworthiness.</t>
  </si>
  <si>
    <r>
      <t>Risk Criteria Definition</t>
    </r>
    <r>
      <rPr>
        <sz val="11"/>
        <color theme="1"/>
        <rFont val="Aptos Narrow"/>
        <family val="2"/>
        <scheme val="minor"/>
      </rPr>
      <t>• Has the organization defined clear AI-specific risk criteria for evaluating cybersecurity risks?• Are criteria aligned with business impact, regulatory expectations, and AI system criticality?</t>
    </r>
    <r>
      <rPr>
        <b/>
        <sz val="11"/>
        <color theme="1"/>
        <rFont val="Aptos Narrow"/>
        <family val="2"/>
        <scheme val="minor"/>
      </rPr>
      <t>Evaluation Against Criteria</t>
    </r>
    <r>
      <rPr>
        <sz val="11"/>
        <color theme="1"/>
        <rFont val="Aptos Narrow"/>
        <family val="2"/>
        <scheme val="minor"/>
      </rPr>
      <t>• Are risks evaluated systematically against the defined criteria?• Are likelihood and impact ratings used consistently?• Are AI-specific risks (drift, adversarial attacks, poisoning, inversion, extraction, prompt injection) properly ranked?</t>
    </r>
    <r>
      <rPr>
        <b/>
        <sz val="11"/>
        <color theme="1"/>
        <rFont val="Aptos Narrow"/>
        <family val="2"/>
        <scheme val="minor"/>
      </rPr>
      <t>Decision Logic</t>
    </r>
    <r>
      <rPr>
        <sz val="11"/>
        <color theme="1"/>
        <rFont val="Aptos Narrow"/>
        <family val="2"/>
        <scheme val="minor"/>
      </rPr>
      <t xml:space="preserve">• Does evaluation determine whether each risk is:– </t>
    </r>
    <r>
      <rPr>
        <b/>
        <sz val="11"/>
        <color theme="1"/>
        <rFont val="Aptos Narrow"/>
        <family val="2"/>
        <scheme val="minor"/>
      </rPr>
      <t>Accepted</t>
    </r>
    <r>
      <rPr>
        <sz val="11"/>
        <color theme="1"/>
        <rFont val="Aptos Narrow"/>
        <family val="2"/>
        <scheme val="minor"/>
      </rPr>
      <t xml:space="preserve"> (if within risk appetite)?– </t>
    </r>
    <r>
      <rPr>
        <b/>
        <sz val="11"/>
        <color theme="1"/>
        <rFont val="Aptos Narrow"/>
        <family val="2"/>
        <scheme val="minor"/>
      </rPr>
      <t>Treated</t>
    </r>
    <r>
      <rPr>
        <sz val="11"/>
        <color theme="1"/>
        <rFont val="Aptos Narrow"/>
        <family val="2"/>
        <scheme val="minor"/>
      </rPr>
      <t xml:space="preserve"> (if above thresholds)?– </t>
    </r>
    <r>
      <rPr>
        <b/>
        <sz val="11"/>
        <color theme="1"/>
        <rFont val="Aptos Narrow"/>
        <family val="2"/>
        <scheme val="minor"/>
      </rPr>
      <t>Monitored</t>
    </r>
    <r>
      <rPr>
        <sz val="11"/>
        <color theme="1"/>
        <rFont val="Aptos Narrow"/>
        <family val="2"/>
        <scheme val="minor"/>
      </rPr>
      <t xml:space="preserve"> (if watching for changes)?</t>
    </r>
    <r>
      <rPr>
        <b/>
        <sz val="11"/>
        <color theme="1"/>
        <rFont val="Aptos Narrow"/>
        <family val="2"/>
        <scheme val="minor"/>
      </rPr>
      <t>High-Risk AI Scenarios</t>
    </r>
    <r>
      <rPr>
        <sz val="11"/>
        <color theme="1"/>
        <rFont val="Aptos Narrow"/>
        <family val="2"/>
        <scheme val="minor"/>
      </rPr>
      <t>• Are high-risk models evaluated with stricter criteria (e.g., models in healthcare, finance, safety-critical use cases)?• Is algorithmic harm or user impact considered in the evaluation?</t>
    </r>
    <r>
      <rPr>
        <b/>
        <sz val="11"/>
        <color theme="1"/>
        <rFont val="Aptos Narrow"/>
        <family val="2"/>
        <scheme val="minor"/>
      </rPr>
      <t>Dependencies &amp; External Factors</t>
    </r>
    <r>
      <rPr>
        <sz val="11"/>
        <color theme="1"/>
        <rFont val="Aptos Narrow"/>
        <family val="2"/>
        <scheme val="minor"/>
      </rPr>
      <t>• Are dependencies (datasets, external APIs, pretrained models, cloud components) evaluated for risk amplification?• Are supply chain risks assessed and prioritized?</t>
    </r>
    <r>
      <rPr>
        <b/>
        <sz val="11"/>
        <color theme="1"/>
        <rFont val="Aptos Narrow"/>
        <family val="2"/>
        <scheme val="minor"/>
      </rPr>
      <t>Consistency &amp; Review</t>
    </r>
    <r>
      <rPr>
        <sz val="11"/>
        <color theme="1"/>
        <rFont val="Aptos Narrow"/>
        <family val="2"/>
        <scheme val="minor"/>
      </rPr>
      <t>• Are evaluations reviewed and validated by governance teams or risk committees?• Are evaluation decisions updated when threats, data, or model behavior change?</t>
    </r>
  </si>
  <si>
    <t>• Documented AI cybersecurity risk criteria.• Risk evaluation sheets showing scoring, prioritization, and decision outcomes.• Records showing acceptance, treatment, or monitoring decisions.• Governance or committee review minutes approving evaluations.• Evidence of reevaluation when new threats emerge or models change.• Documentation of criteria updates and rationale.• Alignment of evaluation results with business impact assessments.</t>
  </si>
  <si>
    <t>The organization shall select, design, and implement AI-specific cybersecurity controls to reduce risks to acceptable levels. Treatment options may include mitigation, reduction, transfer, avoidance, or acceptance. Controls shall address risks such as data poisoning, adversarial attacks, drift, model inversion, model extraction, prompt injection, supply chain vulnerabilities, and unauthorized access. Treatment plans must define actions, responsibilities, timelines, resources, and expected outcomes.</t>
  </si>
  <si>
    <r>
      <t>Treatment Selection Process</t>
    </r>
    <r>
      <rPr>
        <sz val="11"/>
        <color theme="1"/>
        <rFont val="Aptos Narrow"/>
        <family val="2"/>
        <scheme val="minor"/>
      </rPr>
      <t>• Is there a defined method for selecting risk treatment options (mitigate / reduce / avoid / transfer / accept)?• Are treatment decisions based on the AI cybersecurity risk evaluation results?</t>
    </r>
    <r>
      <rPr>
        <b/>
        <sz val="11"/>
        <color theme="1"/>
        <rFont val="Aptos Narrow"/>
        <family val="2"/>
        <scheme val="minor"/>
      </rPr>
      <t>AI-Specific Controls Applied</t>
    </r>
    <r>
      <rPr>
        <sz val="11"/>
        <color theme="1"/>
        <rFont val="Aptos Narrow"/>
        <family val="2"/>
        <scheme val="minor"/>
      </rPr>
      <t>• Do selected controls address risks such as:– Data poisoning → validation, sanitization, anomaly detection?– Adversarial attacks → adversarial training, detection, robustness testing?– Drift → continuous monitoring, retraining triggers?– Model extraction → rate limiting, API protections, obfuscation?– Prompt injection → prompt filtering, sandboxing, policy enforcement?– Supply chain → security vetting of pretrained models/tools?– Unauthorized access → RBAC, MFA, model registry protections?</t>
    </r>
    <r>
      <rPr>
        <b/>
        <sz val="11"/>
        <color theme="1"/>
        <rFont val="Aptos Narrow"/>
        <family val="2"/>
        <scheme val="minor"/>
      </rPr>
      <t>Treatment Planning</t>
    </r>
    <r>
      <rPr>
        <sz val="11"/>
        <color theme="1"/>
        <rFont val="Aptos Narrow"/>
        <family val="2"/>
        <scheme val="minor"/>
      </rPr>
      <t>• Are treatment plans documented with responsibilities, deadlines, and resources?• Are plans approved by appropriate governance authorities?</t>
    </r>
    <r>
      <rPr>
        <b/>
        <sz val="11"/>
        <color theme="1"/>
        <rFont val="Aptos Narrow"/>
        <family val="2"/>
        <scheme val="minor"/>
      </rPr>
      <t>Residual Risk Evaluation</t>
    </r>
    <r>
      <rPr>
        <sz val="11"/>
        <color theme="1"/>
        <rFont val="Aptos Narrow"/>
        <family val="2"/>
        <scheme val="minor"/>
      </rPr>
      <t>• After applying controls, is residual risk assessed again?• Is residual risk compared with acceptable thresholds?</t>
    </r>
    <r>
      <rPr>
        <b/>
        <sz val="11"/>
        <color theme="1"/>
        <rFont val="Aptos Narrow"/>
        <family val="2"/>
        <scheme val="minor"/>
      </rPr>
      <t>Control Implementation</t>
    </r>
    <r>
      <rPr>
        <sz val="11"/>
        <color theme="1"/>
        <rFont val="Aptos Narrow"/>
        <family val="2"/>
        <scheme val="minor"/>
      </rPr>
      <t>• Are controls implemented as described in the treatment plan?• Are controls verified for effectiveness?</t>
    </r>
    <r>
      <rPr>
        <b/>
        <sz val="11"/>
        <color theme="1"/>
        <rFont val="Aptos Narrow"/>
        <family val="2"/>
        <scheme val="minor"/>
      </rPr>
      <t>Integration With Lifecycle Processes</t>
    </r>
    <r>
      <rPr>
        <sz val="11"/>
        <color theme="1"/>
        <rFont val="Aptos Narrow"/>
        <family val="2"/>
        <scheme val="minor"/>
      </rPr>
      <t>• Are treatment steps embedded into data handling, development, deployment, and monitoring workflows?</t>
    </r>
    <r>
      <rPr>
        <b/>
        <sz val="11"/>
        <color theme="1"/>
        <rFont val="Aptos Narrow"/>
        <family val="2"/>
        <scheme val="minor"/>
      </rPr>
      <t>Review &amp; Updates</t>
    </r>
    <r>
      <rPr>
        <sz val="11"/>
        <color theme="1"/>
        <rFont val="Aptos Narrow"/>
        <family val="2"/>
        <scheme val="minor"/>
      </rPr>
      <t>• Are treatment plans reviewed when threats, models, data, or environments change?</t>
    </r>
  </si>
  <si>
    <t>• Documented risk treatment plans.• Records showing mitigation decisions and rationale.• Evidence of implemented controls (configurations, system settings, access controls, API limits).• Adversarial robustness test reports.• Data validation logs and poisoning detection reports.• Drift monitoring settings and retraining triggers.• API protection configurations (rate limits, authentication).• LLM prompt filtering and safety layer documentation.• Supply chain vetting documentation for external tools/models.• Residual risk assessment reports.• Governance approval records for treatment decisions.• Change logs showing updates to controls.• Verification/validation reports confirming control effectiveness.</t>
  </si>
  <si>
    <t>The organization shall formally accept AI cybersecurity risks that remain after treatment, provided those risks are within the organization’s defined risk appetite and tolerance. Acceptance must be justified, documented, approved by authorized roles, and periodically reviewed. AI-specific risks—such as drift, adversarial vulnerability, data exposure, or model misuse—may only be accepted if supported by business justification and residual risk assessments.</t>
  </si>
  <si>
    <r>
      <t>Formal Acceptance Process</t>
    </r>
    <r>
      <rPr>
        <sz val="11"/>
        <color theme="1"/>
        <rFont val="Aptos Narrow"/>
        <family val="2"/>
        <scheme val="minor"/>
      </rPr>
      <t>• Is there a documented process for accepting AI-related residual risks?• Are acceptance criteria defined and aligned with organizational risk appetite?</t>
    </r>
    <r>
      <rPr>
        <b/>
        <sz val="11"/>
        <color theme="1"/>
        <rFont val="Aptos Narrow"/>
        <family val="2"/>
        <scheme val="minor"/>
      </rPr>
      <t>Residual Risk Evaluation</t>
    </r>
    <r>
      <rPr>
        <sz val="11"/>
        <color theme="1"/>
        <rFont val="Aptos Narrow"/>
        <family val="2"/>
        <scheme val="minor"/>
      </rPr>
      <t>• Does acceptance occur only after evaluating residual risk following treatment?• Are AI-specific risks clearly explained and quantified/qualified?</t>
    </r>
    <r>
      <rPr>
        <b/>
        <sz val="11"/>
        <color theme="1"/>
        <rFont val="Aptos Narrow"/>
        <family val="2"/>
        <scheme val="minor"/>
      </rPr>
      <t>Approval Requirements</t>
    </r>
    <r>
      <rPr>
        <sz val="11"/>
        <color theme="1"/>
        <rFont val="Aptos Narrow"/>
        <family val="2"/>
        <scheme val="minor"/>
      </rPr>
      <t>• Are accepted risks reviewed and approved by authorized management or the AI governance body?• Do higher-risk AI systems (e.g., healthcare, finance, safety-critical) require elevated approval levels?</t>
    </r>
    <r>
      <rPr>
        <b/>
        <sz val="11"/>
        <color theme="1"/>
        <rFont val="Aptos Narrow"/>
        <family val="2"/>
        <scheme val="minor"/>
      </rPr>
      <t>Documentation</t>
    </r>
    <r>
      <rPr>
        <sz val="11"/>
        <color theme="1"/>
        <rFont val="Aptos Narrow"/>
        <family val="2"/>
        <scheme val="minor"/>
      </rPr>
      <t>• Is each risk acceptance recorded with justification, impact analysis, and reasoning for acceptance?• Is the decision linked to the corresponding risk treatment plan?</t>
    </r>
    <r>
      <rPr>
        <b/>
        <sz val="11"/>
        <color theme="1"/>
        <rFont val="Aptos Narrow"/>
        <family val="2"/>
        <scheme val="minor"/>
      </rPr>
      <t>Periodic Review</t>
    </r>
    <r>
      <rPr>
        <sz val="11"/>
        <color theme="1"/>
        <rFont val="Aptos Narrow"/>
        <family val="2"/>
        <scheme val="minor"/>
      </rPr>
      <t>• Does the organization review accepted risks periodically?• Are risks reassessed when models, data, threats, or business context change?</t>
    </r>
    <r>
      <rPr>
        <b/>
        <sz val="11"/>
        <color theme="1"/>
        <rFont val="Aptos Narrow"/>
        <family val="2"/>
        <scheme val="minor"/>
      </rPr>
      <t>Prohibited Scenarios</t>
    </r>
    <r>
      <rPr>
        <sz val="11"/>
        <color theme="1"/>
        <rFont val="Aptos Narrow"/>
        <family val="2"/>
        <scheme val="minor"/>
      </rPr>
      <t>• Does the organization prohibit acceptance of AI risks that violate legal, regulatory, ethical, or safety requirements?</t>
    </r>
    <r>
      <rPr>
        <b/>
        <sz val="11"/>
        <color theme="1"/>
        <rFont val="Aptos Narrow"/>
        <family val="2"/>
        <scheme val="minor"/>
      </rPr>
      <t>Communication</t>
    </r>
    <r>
      <rPr>
        <sz val="11"/>
        <color theme="1"/>
        <rFont val="Aptos Narrow"/>
        <family val="2"/>
        <scheme val="minor"/>
      </rPr>
      <t>• Are relevant stakeholders notified about accepted risks affecting their areas?</t>
    </r>
  </si>
  <si>
    <t>• Risk acceptance forms or records.• Residual risk assessment documentation.• Business justification statements for acceptance.• Approvals from authorized management or governance boards.• Mapping of accepted risks to treatment plans.• Logs of periodic reviews and reconsideration of accepted risks.• Updated risk register noting acceptance decisions.• Evidence of stakeholder communication regarding accepted risks.• Version-controlled documentation showing changes to acceptance decisions over time.</t>
  </si>
  <si>
    <t>Data Validation &amp; Sanitization</t>
  </si>
  <si>
    <t>The organization shall validate training, testing, and inference data for accuracy, completeness, consistency, and adversarial manipulation. Data sanitization controls must remove corrupted, anomalous, or malicious samples. Validation rules must be documented and consistently applied.</t>
  </si>
  <si>
    <t>• What mechanisms exist for validating datasets?• How does the organization detect corrupted, anomalous, or adversarial data?• Are validation rules defined and applied?• Are automated anomaly detection tools used prior to model training?• How are rejected or suspicious data samples handled?• Who validates and approves datasets?</t>
  </si>
  <si>
    <t>• Data validation SOPs• Data quality and anomaly detection reports• Data sanitization pipeline steps• Logs of rejected or flagged data• Dataset approval records</t>
  </si>
  <si>
    <t>Dataset Integrity Controls</t>
  </si>
  <si>
    <t>The organization shall protect datasets from unauthorized modification or tampering. Integrity verification must be applied using hashing, checksums, version control, and audit logs. Access to datasets must be restricted and monitored.</t>
  </si>
  <si>
    <t>• How is dataset integrity verified?• Are hashing or checksum mechanisms implemented?• Are datasets versioned throughout the lifecycle?• Who can modify datasets?• Are all dataset changes logged and reviewed?</t>
  </si>
  <si>
    <t>• Integrity verification logs• Hash or checksum records• Dataset versioning history• Access control lists• Dataset change logs</t>
  </si>
  <si>
    <t>Poisoning Detection &amp; Monitoring</t>
  </si>
  <si>
    <t>The organization shall detect data poisoning attempts through monitoring of feature distributions, anomalies, outliers, and deviations from expected data patterns. Alerts shall be triggered for suspicious data behaviors.</t>
  </si>
  <si>
    <t>• Are feature distributions monitored for anomalies?• Are poisoning indicators defined?• Are sudden shifts in data flagged?• Are alerts generated and reviewed?• How are poisoning investigations conducted?</t>
  </si>
  <si>
    <t>• Poisoning detection logs• Feature distribution monitoring graphs• Drift or anomaly alerts• Incident investigation records• Data poisoning response SOP</t>
  </si>
  <si>
    <t>Secure Data Pipelines</t>
  </si>
  <si>
    <t>Data pipelines must be secured against interception, tampering, unauthorized access, and injection of malicious data. Controls include encryption, access control, integrity checks, and monitoring of pipeline components.</t>
  </si>
  <si>
    <t>• How is data protected during ingestion, transformation, and storage?• Are pipelines secured against tampering or modification?• How does the organization prevent malicious data injection?• Is encryption enforced (at rest/in transit)?• Are pipeline activities monitored?</t>
  </si>
  <si>
    <t>• Data pipeline diagrams• Encryption configuration• Pipeline access logs• Alerts for unauthorized changes• Secure CI/CD documentation</t>
  </si>
  <si>
    <t>Data Access Governance</t>
  </si>
  <si>
    <t>The organization shall enforce least privilege and role-based access control for all datasets. Sensitive data must have enhanced controls, including MFA, approval workflows, and periodic access reviews.</t>
  </si>
  <si>
    <t>• Who has access to training and inference data?• Is RBAC implemented for datasets?• Is MFA required to access sensitive data?• How often are access reviews performed?• Are dataset access logs monitored for abnormalities?</t>
  </si>
  <si>
    <t>• Dataset access control matrix• Access logs• MFA configurations• User access review records• Dataset access approval workflows</t>
  </si>
  <si>
    <t>Adversarial Input Detection</t>
  </si>
  <si>
    <t>The organization shall implement mechanisms to detect adversarial inputs designed to mislead or manipulate AI models. Systems shall monitor for unusual patterns, perturbations, and inputs intended to force misclassification or unsafe responses. Detection rules shall be defined for the specific model type (e.g., NLP, CV, tabular).</t>
  </si>
  <si>
    <t>• Are adversarial input detection mechanisms implemented?• How are anomalous or adversarial patterns identified?• Are detection thresholds documented?• Are alerts generated for adversarial signals?• Are adversarial attempts correlated with other security logs?• Does the organization retrain or adjust models based on adversarial findings?</t>
  </si>
  <si>
    <t>• Adversarial detection logs• Configured detection rules• Alert logs for adversarial attempts• Model behavior test reports• Documentation of adversarial investigations</t>
  </si>
  <si>
    <t>Adversarial Training / Model Hardening</t>
  </si>
  <si>
    <t>Models shall undergo adversarial robustness training or equivalent hardening techniques to reduce susceptibility to evasion attacks. Robustness methods may include adversarial augmentation, defense distillation, noise injection, and gradient masking where appropriate.</t>
  </si>
  <si>
    <t>• Has the organization applied adversarial training or robustness methods?• How were adversarial samples generated for testing?• Does the training pipeline include adversarial augmentation?• Are robustness improvements measured over time?• Who approves updated robustness requirements?</t>
  </si>
  <si>
    <t>• Adversarial training reports• Model robustness evaluation results• Documentation of adversarial augmentation methods• Change logs showing robustness updates• Approval records for robustness standards</t>
  </si>
  <si>
    <t>Model Robustness Testing</t>
  </si>
  <si>
    <t>Models shall be periodically tested to assess resilience against adversarial perturbations, manipulation, or regression failures. Testing shall align with ISO 24029-1/2 recommendations. Robustness tests shall include boundary tests, noise tests, perturbation tests, and stress testing for unexpected inputs.</t>
  </si>
  <si>
    <t>• Does the organization conduct scheduled robustness testing?• Are perturbation, noise, and boundary tests performed?• Are models tested under worst-case or edge-case conditions?• Are testing tools and methods documented?• Are results reviewed by AI governance or security teams?• Are robustness weaknesses fed back into risk assessments?</t>
  </si>
  <si>
    <t>• Robustness testing reports• ISO 24029-aligned evaluations• Stress test logs• Testing methodology documentation• Governance review minutes</t>
  </si>
  <si>
    <t>Evasion Attack Resistance</t>
  </si>
  <si>
    <t>The organization shall deploy controls to prevent attackers from crafting inputs that cause incorrect predictions or bypass detection. Controls may include input normalization, feature squeezing, model ensembling, or confidence-based detection mechanisms.</t>
  </si>
  <si>
    <t>• What protections exist to prevent evasion attacks?• Are input preprocessing or normalization controls implemented?• Does the organization use ensemble models or secondary verification systems?• Are confidence scores monitored for abnormal dips?• Are evasion attempts logged and escalated?</t>
  </si>
  <si>
    <t>• Logs of evasion detection• Configuration of normalization or preprocessing steps• Documentation of model ensembling or secondary verification• Incident reports for evasion attempts</t>
  </si>
  <si>
    <t>Output Monitoring for Abnormal Responses</t>
  </si>
  <si>
    <t>Model outputs shall be monitored to identify suspicious, unexpected, harmful, or adversarially influenced outcomes. Monitoring shall detect anomalies such as extreme misclassifications, sudden accuracy drops, LLM hallucinations, or output patterns matching known attack signatures.</t>
  </si>
  <si>
    <t>• Are model outputs continuously monitored for anomalies?• How does the organization detect harmful or manipulated responses?• Are output anomalies correlated with input anomalies?• Are thresholds set for unacceptable outputs?• Are output anomalies investigated and fed into retraining or tuning?</t>
  </si>
  <si>
    <t>• Output anomaly logs• Threshold and alert configuration• Correlation reports (input-output anomalies)• Hallucination detection logs (for LLMs)• Incident tickets for abnormal output behavior</t>
  </si>
  <si>
    <t>Model Integrity Verification</t>
  </si>
  <si>
    <t>The organization shall ensure that AI models (weights, parameters, configuration files) are protected from unauthorized modification. Integrity must be validated using hashing, digital signatures, checksums, or cryptographic verification before deployment and periodically in production.</t>
  </si>
  <si>
    <t>• How is model integrity verified before deployment?• Are hashing or digital signature mechanisms in place?• Are integrity checks repeated during production use?• Are integrity failures logged and escalated?• Are model files stored securely to prevent tampering?• Is integrity verification integrated into CI/CD or MLOps?</t>
  </si>
  <si>
    <t>• Model hash/signature records• Integrity check logs (pre-deployment &amp; runtime)• Evidence of CI/CD integrity gates• Incident tickets for integrity failures• Secure storage configuration documentation</t>
  </si>
  <si>
    <t>Secure Model Storage &amp; Registry Controls</t>
  </si>
  <si>
    <t>The organization shall use a secure model registry with controlled access, version tracking, audit logging, and tamper protection. Model artifacts must be stored with RBAC, MFA, encryption, and immutability controls where appropriate.</t>
  </si>
  <si>
    <t>• Is a secure model registry used?• Are model versions tracked systematically?• Who has access to model artifacts?• Are registry changes logged and reviewed?• Is MFA enforced for modifying model entries?• Are models encrypted at rest?</t>
  </si>
  <si>
    <t>• Model registry access logs• RBAC/MFA configuration settings• Model version history• Encryption configuration for storage systems• Change logs for model updates</t>
  </si>
  <si>
    <t>Version Control &amp; Change Management</t>
  </si>
  <si>
    <t>The organization shall maintain strict version control for all AI models, data pipelines, and training artifacts. All changes must follow documented change management processes including testing, approval, rollback mechanisms, and traceability.</t>
  </si>
  <si>
    <t>• How does the organization track model versions?• Are changes approved prior to deployment?• Are rollback procedures documented and tested?• Does change control cover pipelines, parameters, and configurations?• Are changes reviewed by authorized stakeholders?</t>
  </si>
  <si>
    <t>• Change management records• Version control logs• Deployment approval forms• Rollback test results• CI/CD or MLOps change documentation</t>
  </si>
  <si>
    <t>Secure Model Deployment Pipeline</t>
  </si>
  <si>
    <t>Deployment pipelines for AI systems must integrate security controls, including access control, integrity checks, dependency validation, automated testing, and environment isolation. Only approved models shall be deployed.</t>
  </si>
  <si>
    <t>• Does the CI/CD pipeline include integrity checks?• Are unapproved models blocked from deployment?• Are dependencies verified for security issues?• Are deployment steps logged and auditable?• Are production environments isolated?• Does the pipeline enforce controlled approvals?</t>
  </si>
  <si>
    <t>• CI/CD pipeline configuration• Deployment logs• Evidence of failed/blocked deployments• Dependency scanning reports• Access controls for deployment tools</t>
  </si>
  <si>
    <t>Unauthorized Model Modification Protection</t>
  </si>
  <si>
    <t>The organization shall prevent unauthorized modifications to AI models or their configurations. This includes RBAC, MFA, audit trails, automated alerts, and isolation of production environments to prevent tampering.</t>
  </si>
  <si>
    <t>• Who can modify models in registry or production?• Are modifications restricted to authorized personnel?• Are alerts generated for unauthorized attempts?• Are production environments protected from direct edits?• Is access monitored and logged?</t>
  </si>
  <si>
    <t>• Access logs• Alerts for unauthorized modification attempts• RBAC/MFA configuration• Production environment security settings• Audit logging policies</t>
  </si>
  <si>
    <t>Confidentiality of Model Weights</t>
  </si>
  <si>
    <t>AI model weights and training parameters shall be treated as sensitive assets. Confidentiality must be maintained through encryption, access restrictions, secure transmission, and protection against model extraction or leakage.</t>
  </si>
  <si>
    <t>• How are model weights secured at rest and in transit?• Are weights encrypted?• Are access rights restricted to essential personnel?• Are controls in place to reduce risk of model extraction?• Are confidentiality requirements documented and enforced?</t>
  </si>
  <si>
    <t>• Encryption configurations• Secure transmission logs• Access control lists for model assets• Model extraction prevention documentation• Data classification policies</t>
  </si>
  <si>
    <t>API Authentication &amp; Authorization</t>
  </si>
  <si>
    <t>APIs exposing AI models shall be protected using robust authentication (e.g., API keys, OAuth, tokens) and authorization mechanisms (RBAC, least privilege). API calls must be restricted based on user roles and application context.</t>
  </si>
  <si>
    <t>• How are APIs authenticated (keys, tokens, OAuth)?• Are authorization rules defined and enforced?• Are privileged API actions restricted?• Are failed authentication attempts logged and reviewed?• Is MFA required for sensitive API operations?• Are stale or unused credentials revoked periodically?</t>
  </si>
  <si>
    <t>• API gateway configuration• Authentication and authorization policies• API access logs• RBAC mapping• Token/Key rotation logs• Security testing results for API endpoints</t>
  </si>
  <si>
    <t>API Rate Limiting &amp; Throttling</t>
  </si>
  <si>
    <t>APIs must implement rate limiting, throttling, and quota controls to prevent model extraction, brute force attacks, or compute abuse. High-volume anomalies must trigger alerts.</t>
  </si>
  <si>
    <t>• Is rate limiting enforced at API level?• Are quotas defined per user/group/application?• Are anomaly spikes in API calls detected?• Are alerts generated for abnormal usage patterns?• Are extraction attempts monitored (sequence queries, structured probing)?</t>
  </si>
  <si>
    <t>• API rate limit configuration• Anomaly detection logs• Usage analytics showing throttled/excessive calls• Alerts tied to abnormal API behavior• Incident records related to misuse</t>
  </si>
  <si>
    <t>Model Extraction Prevention</t>
  </si>
  <si>
    <t>Controls must prevent attackers from reconstructing or stealing the model using repeated or patterned API queries. Protections may include watermarking, output noise, monitoring of query patterns, and blocking extraction signatures.</t>
  </si>
  <si>
    <t>• How does the organization detect potential model extraction attempts?• Are query patterns analyzed for suspicious probing?• Are countermeasures (watermarking, noise, response limiting) implemented?• Are output structures monitored for overuse?• Are extraction events logged and investigated?</t>
  </si>
  <si>
    <t>• Extraction detection logs• Query pattern analytics• Output watermarking documentation• Evidence of rate limiting tied to extraction signals• Investigation records for extraction alerts</t>
  </si>
  <si>
    <t>Input Filtering &amp; Validation</t>
  </si>
  <si>
    <t>All inputs to AI systems (prompts, images, data) must be validated to prevent adversarial manipulation, malformed input, injection payloads, or unsafe content before it reaches the model.</t>
  </si>
  <si>
    <t>• Is input sanitization implemented (prompt filtering, schema validation)?• Are adversarial or malformed inputs rejected?• Are filtering rules documented and updated?• Are data types, sizes, and structures validated before processing?• Are unsafe or untrusted inputs isolated?</t>
  </si>
  <si>
    <t>• Input validation rules• Prompt or input filtering logs• Evidence of blocked malicious inputs• Documentation on validation steps in API pipeline• Security testing reports for input handling</t>
  </si>
  <si>
    <t>Output Filtering &amp; Safe Output Enforcement</t>
  </si>
  <si>
    <t>AI outputs must be screened for harmful, biased, unsafe, or adversarially induced responses. Output filtering is required for LLMs and other generative models to prevent harmful or sensitive leakage.</t>
  </si>
  <si>
    <t>• How is output safety enforced (filters, safety layers)?• Are outputs checked for harmful, biased, or sensitive content?• Are hallucinations monitored and mitigated?• Are unsafe outputs logged and reviewed?• Are output filters tested regularly?</t>
  </si>
  <si>
    <t>• Output filtering logs• Safety layer configuration• Block list / allow list policies• Tests for harmful outputs• Incident tickets for unsafe responses</t>
  </si>
  <si>
    <t>LLM Prompt Injection Defense</t>
  </si>
  <si>
    <t>The organization shall implement protections against prompt injection, jailbreaks, and malicious user manipulation. Controls include prompt isolation, input context boundaries, and policy enforcement.</t>
  </si>
  <si>
    <t>• Are safeguards implemented against prompt injection?• How does the model isolate system prompts from user prompts?• Are jailbreak attempts detected and blocked?• Are malicious prompt patterns monitored?• Are prompt controls updated based on emerging threats?</t>
  </si>
  <si>
    <t>• Logs showing detected injection attempts• Prompt isolation rules• Jailbreak prevention mechanisms• Updates to LLM security settings• Threat intelligence reports on prompt injection patterns</t>
  </si>
  <si>
    <t>Access to AI systems, data pipelines, model registries, compute environments, and APIs shall follow least privilege, RBAC, MFA enforcement, and approval workflows. Privileged access must be monitored and periodically reviewed.</t>
  </si>
  <si>
    <t>• Who has access to training, inference, and deployment environments?• Is RBAC implemented consistently for AI components?• Is MFA required for administrative or privileged accounts?• Are access changes logged and reviewed?• Are periodic access reviews performed for AI assets?• Is access separated between Dev/Train/Test/Prod environments?</t>
  </si>
  <si>
    <t>• Access control matrix• MFA configuration screenshots• Privileged access logs• User access review records• Access request/approval workflows• Segregation-of-duties documentation</t>
  </si>
  <si>
    <t>APIs must be protected using authentication, authorization, encryption, rate limits, anomaly detection, and segmentation controls. API access must be logged and monitored to detect unauthorized or malicious use.</t>
  </si>
  <si>
    <t>• Are APIs exposed to AI models secured with authentication and authorization controls?• Is TLS enforced for all API traffic?• Are rate limits configured?• Are suspicious or excessive API calls detected and flagged?• Are API logs reviewed regularly?• Are APIs segmented from critical environments?</t>
  </si>
  <si>
    <t>• API gateway policies• Authentication/authorization configuration• TLS certificates• Rate limit settings• API access logs• Alerts for abnormal API usage</t>
  </si>
  <si>
    <t>AI infrastructure (VMs, GPUs, containers, cloud services) must be hardened using secure configurations, patch management, segmentation, isolation of sensitive components, and disabling unnecessary services.</t>
  </si>
  <si>
    <t>• Are AI compute environments (VMs, Docker, Kubernetes, GPUs) hardened according to security baselines?• Are OS and container images patched regularly?• Is network segmentation enforced between environments?• Are unnecessary services disabled on compute nodes?• Are environment-level logs monitored for intrusion attempts?</t>
  </si>
  <si>
    <t>• Hardening baseline documentation• Patch management logs• Firewall/segmentation configuration• Container security scan results• Evidence of disabled unused services• Environment-level security logs</t>
  </si>
  <si>
    <t>Controls shall prevent unauthorized or excessive usage of compute resources (GPU/CPU), including cryptomining, inference flooding, and internal misuse. Monitoring must detect abnormal patterns of resource utilization.</t>
  </si>
  <si>
    <t>• Are compute resources monitored for abnormal usage patterns?• Are GPU/CPU consumption thresholds configured?• Are alerts generated for excessive or suspicious workload spikes?• Are controls in place to prevent cryptomining or unapproved jobs?• Are workload queues secured to prevent unauthorized job submission?</t>
  </si>
  <si>
    <t>• Resource utilization dashboards• Alert logs for abnormal compute usage• GPU/CPU threshold configurations• Investigation reports for resource misuse• Access control policies for job scheduling</t>
  </si>
  <si>
    <t>A.5.5</t>
  </si>
  <si>
    <t>Protection of Training &amp; Inference Infrastructure</t>
  </si>
  <si>
    <t>Training and inference environments must be protected against unauthorized access, tampering, lateral movement, and malicious modification of underlying infrastructure components.</t>
  </si>
  <si>
    <t>• Are training and inference environments isolated?• Are privileged operations restricted?• Are environment components monitored for unauthorized changes?• Are infrastructure logs integrated with SIEM?• Are controls in place to detect tampering with compute nodes, model servers, or inference endpoints?</t>
  </si>
  <si>
    <t>• Isolation configuration documents• Infrastructure access logs• Change detection alerts• SIEM monitoring dashboards• Incident tickets related to environment tampering</t>
  </si>
  <si>
    <t>Environment Segregation (Dev / Train / Test / Prod)</t>
  </si>
  <si>
    <t>The organization shall ensure strict separation between development, training, testing, and production environments to prevent contamination of data and models, accidental deployment of untested models, or unauthorized access paths.</t>
  </si>
  <si>
    <t>• Is there strict separation of Dev/Train/Test/Prod environments?• Are different roles allowed in each environment?• Are production models protected from direct developer modification?• Are data flows restricted between environments?• Are configuration changes in Prod controlled and approved?</t>
  </si>
  <si>
    <t>• Environment diagrams showing segmentation• Access permissions by environment• Change request and approval logs• Deployment logs showing controlled transitions• Policies governing environment separation</t>
  </si>
  <si>
    <t>Vetting of External Models</t>
  </si>
  <si>
    <t>The organization shall evaluate the security, quality, licensing, provenance, and trustworthiness of external or open-source models before use. Risks related to backdoors, poisoning, malicious weights, and hidden vulnerabilities must be assessed.</t>
  </si>
  <si>
    <t>• Does the organization conduct security reviews of external models prior to use?• Are sources of pretrained models vetted and approved?• Are checks performed for malicious weights, embedded backdoors, or corrupted parameters?• Are licensing terms reviewed for compliance?• Are model provenance and authenticity verified?</t>
  </si>
  <si>
    <t>• Third-party model evaluation reports• Provenance verification logs• Licensing review documentation• Security scanning results for external models• Approved supplier/model list</t>
  </si>
  <si>
    <t>Secure Acquisition &amp; Dependency Validation</t>
  </si>
  <si>
    <t>All third-party AI libraries, frameworks, datasets, and dependencies must undergo validation for security vulnerabilities, version integrity, and supply chain risks.</t>
  </si>
  <si>
    <t>• Are AI libraries and dependencies scanned for vulnerabilities?• Are packages pinned to secure versions?• Are updates reviewed prior to deployment?• Are dependency chains analyzed for hidden risks?• Is code integrity checked before inclusion in production pipelines?</t>
  </si>
  <si>
    <t>• Dependency scanning reports (SCA/SBOM)• Version pinning documentation• Approval records for library upgrades• Vulnerability remediation logs• Evidence of integrity checks (hashes, signatures)</t>
  </si>
  <si>
    <t>Third-Party AI Component Risk Assessment</t>
  </si>
  <si>
    <t>All third-party AI models, APIs, datasets, and services shall undergo formal risk assessment covering security, privacy, robustness, and operational risks.</t>
  </si>
  <si>
    <t>• Is there a documented risk assessment process for third-party AI components?• Are risks such as poisoning, adversarial weakness, and data leakage evaluated?• Are third-party APIs reviewed for authentication and rate-limiting robustness?• Are high-risk vendors subject to enhanced due diligence?• Are assessments updated periodically?</t>
  </si>
  <si>
    <t>• Third-party AI risk assessment records• Vendor security assessment documentation• Technical test results for external APIs• Procurement approval workflows• Periodic review logs</t>
  </si>
  <si>
    <t>A.6.4</t>
  </si>
  <si>
    <t>AI Software Bill of Materials (AI-SBOM)</t>
  </si>
  <si>
    <t>The organization shall maintain an AI-SBOM listing all model components, dependencies, datasets, libraries, training sources, and third-party elements used in AI systems to ensure traceability and vulnerability management.</t>
  </si>
  <si>
    <t>• Does the organization maintain an SBOM for all models?• Does the SBOM include datasets, training scripts, frameworks, weights, and external dependencies?• How is the SBOM updated when models or code versions change?• Is the SBOM used during incident response and vulnerability management?• Are third-party components traceable to their origin?</t>
  </si>
  <si>
    <t>• AI-SBOM documentation• Version history of SBOM updates• Relationship mapping between components and models• Evidence of SBOM use in vulnerability assessments• SBOM automation/tooling outputs</t>
  </si>
  <si>
    <t>A.6.5</t>
  </si>
  <si>
    <t>Continuous Monitoring of Dependencies</t>
  </si>
  <si>
    <t>The organization shall continuously track vulnerabilities, updates, and security advisories related to third-party AI components, libraries, and datasets. High-risk dependencies must be patched or replaced promptly.</t>
  </si>
  <si>
    <t>• Are dependencies monitored for new vulnerabilities?• Are security advisories (CVEs) tracked routinely?• How quickly are patches applied for high-risk components?• Are unsupported or abandoned libraries removed?• Is monitoring automated through tooling?</t>
  </si>
  <si>
    <t>• Vulnerability monitoring logs• Patch/update implementation records• Alerts from dependency monitoring tools• Decommissioning records for obsolete libraries• Governance meeting minutes reviewing dependency risks</t>
  </si>
  <si>
    <t>Prompt Injection Prevention</t>
  </si>
  <si>
    <t>The organization shall implement controls to prevent prompt injection, jailbreak attempts, indirect prompt manipulation, and user-driven attempts to override system instructions.</t>
  </si>
  <si>
    <t>• Are LLM prompts isolated from system instructions?• Are controls implemented for sanitizing or filtering user prompts?• How are jailbreak attempts detected and blocked?• Are indirect prompt injections (via files, URLs, messages) monitored?• Are prompt safety checks updated regularly?• Are injections correlated with other security events?</t>
  </si>
  <si>
    <t>• Prompt filtering rules• Logs of detected injection/jailbreak attempts• LLM policy enforcement documentation• Tests showing blocked unsafe prompts• Evidence of updated prompt safety configurations</t>
  </si>
  <si>
    <t>Jailbreak Protection</t>
  </si>
  <si>
    <t>The organization shall deploy robust security measures to limit the LLM’s ability to bypass constraints, reveal system prompts, or perform unauthorized actions. Red teaming must validate these protections.</t>
  </si>
  <si>
    <t>• Are jailbreak-resistant system prompts implemented?• Are red-team tests performed to validate jailbreak resistance?• Are jailbreak attempts logged and reviewed?• Does the system restrict unsafe function-calling or tool access?• Are known jailbreak patterns blocked?</t>
  </si>
  <si>
    <t>• Jailbreak resistance test results• Red team findings• Updated system prompts• Logs of attempted jailbreaks• Output filters preventing unauthorized actions</t>
  </si>
  <si>
    <t>Toxic / Unsafe Output Filtering</t>
  </si>
  <si>
    <t>The organization shall implement output filters to prevent harmful, biased, toxic, or dangerous content. Outputs must be scanned for hallucination, misleading information, or unsafe recommendations.</t>
  </si>
  <si>
    <t>• How does the organization detect harmful or unsafe outputs?• Are toxicity and bias filters configured?• Are hallucinations monitored and mitigated?• Are unsafe outputs logged for investigation?• Are filters tested for effectiveness?</t>
  </si>
  <si>
    <t>• Output risk filter configuration• Logs of blocked or flagged outputs• Bias/toxicity test reports• Hallucination monitoring results• Evidence of periodic effectiveness testing</t>
  </si>
  <si>
    <t>LLM Input/Output Logging &amp; Auditability</t>
  </si>
  <si>
    <t>LLM input and output must be logged to support traceability, investigation, monitoring, and forensic analysis, while respecting privacy requirements.</t>
  </si>
  <si>
    <t>• Are all prompts and outputs logged securely?• Are sensitive data redacted in logs?• Are access controls enforced on logs?• Are logs integrated with security monitoring (SIEM)?• Are logs retained according to policy?</t>
  </si>
  <si>
    <t>• I/O log samples• Log retention policy• Logging architecture diagrams• SIEM integration evidence• Access control settings for log storage</t>
  </si>
  <si>
    <t>A.7.5</t>
  </si>
  <si>
    <t>Alignment &amp; Safety Layer Controls</t>
  </si>
  <si>
    <t>LLM behavior must be aligned with organizational safety principles using reinforcement learning, rule-based constraints, guardrails, or moderation layers.</t>
  </si>
  <si>
    <t>• Are safety layers implemented (guardrails, moderation, RLHF-based controls)?• How is alignment measured and maintained?• Are unsafe behaviors retrained or tuned?• Are alignment failures investigated?</t>
  </si>
  <si>
    <t>• Documentation of safety layers• Guardrail configuration• Alignment testing reports• Records of retraining/tuning due to alignment issues</t>
  </si>
  <si>
    <t>A.7.6</t>
  </si>
  <si>
    <t>Content Policy Enforcement</t>
  </si>
  <si>
    <t>A documented content policy must govern what content LLMs may generate or refuse to generate. Enforcement shall occur through system prompts, filters, and validation rules.</t>
  </si>
  <si>
    <t>• Is there a documented generative AI content policy?• Are content restrictions enforced at runtime?• Are LLMs prevented from producing prohibited or sensitive content?• Are violations logged?</t>
  </si>
  <si>
    <t>• Content policy document• Policy enforcement settings• Violation logs• Evidence of periodic updates to content rules</t>
  </si>
  <si>
    <t>Hallucination Risk Controls</t>
  </si>
  <si>
    <t>Controls shall be implemented to minimize hallucination rates, including confidence scoring, grounding in verified data sources, cross-model verification, and detection of fabricated outputs.</t>
  </si>
  <si>
    <t>• Are hallucinations detected automatically?• Are outputs grounded using retrieval augmentation or verified sources?• Are confidence scores displayed or logged?• Are hallucination incidents tracked?• Are mitigation techniques periodically updated?</t>
  </si>
  <si>
    <t>• Hallucination detection logs• RAG or grounding configuration• Confidence scoring outputs• Incident logs for hallucination events• Documentation of updated mitigation controls</t>
  </si>
  <si>
    <t>Fine-Tuning Safety Controls</t>
  </si>
  <si>
    <t>Fine-tuning or retraining must follow strict safety protocols to avoid leaking sensitive data or introducing bias, poisoning, or alignment drift.</t>
  </si>
  <si>
    <t>• Is fine-tuning data vetted for safety risks?• Are sensitive or personal data excluded or anonymized?• Are poisoning risks assessed for fine-tuning datasets?• Are updated models tested for alignment drift?• Are fine-tuning operations logged and approved?</t>
  </si>
  <si>
    <t>• Fine-tuning data vetting reports• Training pipeline logs• Alignment drift test results• Approval records for fine-tuning• Dataset sanitization evidence</t>
  </si>
  <si>
    <t>AI System Activity Monitoring</t>
  </si>
  <si>
    <t>The organization shall continuously monitor AI systems, infrastructure, pipelines, and model behavior to detect anomalies, attacks, misuse, or degradation. Monitoring shall include input/output patterns, model drift indicators, access activity, and infrastructure utilization.</t>
  </si>
  <si>
    <t>• Are AI system monitoring tools in place for inputs, outputs, and model behavior?• Are anomalies defined and thresholded?• Is monitoring integrated with SIEM or SOC processes?• Are alerts generated for abnormal activity (access spikes, drift events, adversarial attempts)?• Is monitoring performed continuously and reviewed periodically?</t>
  </si>
  <si>
    <t>• Monitoring dashboards• Alert configuration documentation• SIEM integration logs• Weekly/Monthly monitoring review reports• Evidence of anomalies and investigations</t>
  </si>
  <si>
    <t>Detection of AI-Specific Attacks</t>
  </si>
  <si>
    <t>The organization shall implement automated detection mechanisms for AI-specific threats, such as data poisoning indicators, adversarial input signatures, prompt injection, model extraction attempts, evasion, and API abuse.</t>
  </si>
  <si>
    <t>• Are detection rules specific to AI attack types configured?• Are adversarial signatures monitored?• Does detection include suspicious prompt patterns (LLMs)?• Does monitoring identify model extraction attempts (high-volume queries, pattern attacks)?• Are poisoning indicators monitored (training anomalies, dataset changes)?</t>
  </si>
  <si>
    <t>• AI attack detection rules• Logs of detected AI-specific threats• Alert investigation records• Incident response documentation• Historical anomaly reports related to AI threats</t>
  </si>
  <si>
    <t>Logging Across AI Lifecycle Components</t>
  </si>
  <si>
    <t>Logging must capture activity across data ingestion, model training, validation, deployment, inference, and retraining processes. Logs shall include timestamps, user activity, configuration changes, model version updates, and system events.</t>
  </si>
  <si>
    <t>• Are logs collected from all lifecycle components (data, training, deployment, inference)?• Are logs complete, timestamped, and tamper-resistant?• Are privileged operations logged separately?• Are logs correlated across components?• Are logs retained based on policy?</t>
  </si>
  <si>
    <t>• Lifecycle-wide logging architecture• Log samples from each phase (data/train/test/deploy/infer)• Tamper-proof log storage evidence• Access control logs• Log retention schedule</t>
  </si>
  <si>
    <t>A.8.4</t>
  </si>
  <si>
    <t>Drift Detection &amp; Monitoring</t>
  </si>
  <si>
    <t>The organization shall implement model drift detection for data drift, concept drift, and performance degradation. Automated alerts shall trigger investigation or retraining when drift crosses defined thresholds.</t>
  </si>
  <si>
    <t>• Is drift detection implemented for all deployed AI models?• Are drift thresholds defined and documented?• Are drift alerts generated and reviewed?• Are drift findings incorporated into retraining decisions?• Are drift metrics reviewed periodically?</t>
  </si>
  <si>
    <t>• Drift detection dashboards• Performance comparison logs (baseline vs. current)• Drift investigation tickets• Threshold configuration documentation• Retraining decision logs</t>
  </si>
  <si>
    <t>A.8.5</t>
  </si>
  <si>
    <t>AI Incident Detection &amp; Correlation</t>
  </si>
  <si>
    <t>AI incidents must be detected and correlated across logs, monitoring tools, and infrastructure systems. Correlation must identify multi-stage attacks, attempts to manipulate models, or operational failures that affect AI integrity or security.</t>
  </si>
  <si>
    <t>• Does the organization correlate AI incidents across data, model, and infrastructure logs?• Are correlation rules documented?• Are multi-stage attack patterns detectable?• Are AI security incidents escalated via defined workflows?• Is correlation integrated with SOC or IR processes?</t>
  </si>
  <si>
    <t>• Incident correlation reports• SOC escalation records• Correlation rule definitions• Sample multi-source incident investigations• Integration evidence with IR workflows</t>
  </si>
  <si>
    <t>A.8.6</t>
  </si>
  <si>
    <t>Forensic Readiness for AI Systems</t>
  </si>
  <si>
    <t>The organization shall maintain forensic readiness by ensuring logging depth, data retention, timestamp accuracy, isolation capability, and evidence preservation methods suitable for AI systems.</t>
  </si>
  <si>
    <t>• Are forensic requirements defined for AI systems?• Are logs detailed enough to support investigations?• Are chain-of-custody procedures defined for AI artifacts (datasets, models, weights, logs)?• Can the organization isolate compromised model components or environments?• Are forensic tools or playbooks in place?</t>
  </si>
  <si>
    <t>• Forensic readiness plan• Chain-of-custody templates• Isolation procedures for model/inference nodes• Forensic toolkit configurations• Evidence retention policy</t>
  </si>
  <si>
    <t>Post-Incident Model &amp; Data Analysis</t>
  </si>
  <si>
    <t>After incidents, the organization must analyze affected models, datasets, logs, and pipelines to determine root cause, detect manipulation, and assess the impact on confidentiality, integrity, and availability.</t>
  </si>
  <si>
    <t>• Does the organization perform forensic model analysis after an incident?• Are datasets checked for corruption or poisoning?• Are model parameters reviewed for tampering?• Is root-cause analysis performed?• Are findings fed into retraining or redesign requirements?• Are lessons learned documented?</t>
  </si>
  <si>
    <t>• Post-incident analysis reports• Dataset validation logs• Model integrity check results• Root cause analysis documentation• Lessons learned and corrective actions</t>
  </si>
  <si>
    <t>Data Integrity Protection</t>
  </si>
  <si>
    <t>The organization shall ensure that all AI training, validation, and inference data is protected from unauthorized modification, corruption, poisoning, or tampering. Controls shall include hashing, versioning, access controls, and integrity validation.</t>
  </si>
  <si>
    <t>• How is data integrity protected for training/validation/test datasets?• Are checksums or hashing mechanisms used?• Are datasets versioned and stored securely?• Are unauthorized changes detectable?• How often are integrity checks performed?• Is there a defined remediation process for data corruption?</t>
  </si>
  <si>
    <t>• Dataset hashes/checksum logs• Version control records• Access logs for dataset repositories• Data integrity validation reports• Procedures for handling data corruption events</t>
  </si>
  <si>
    <t>Dataset Provenance &amp; Lineage</t>
  </si>
  <si>
    <t>The organization shall maintain full provenance and lineage records for all datasets used in AI systems, including origin, transformations, quality checks, and any external data sources.</t>
  </si>
  <si>
    <t>• Is dataset provenance tracked from original source to final training dataset?• Are lineage records complete and verifiable?• Are external datasets vetted for trustworthiness?• Are transformations documented?• Is dataset quality validated before use?</t>
  </si>
  <si>
    <t>• Data lineage documentation• Dataset source records• Data preparation/cleaning logs• Third-party dataset vetting reports• Dataset quality validation results</t>
  </si>
  <si>
    <t>Data Access Controls</t>
  </si>
  <si>
    <t>Access to datasets must follow least privilege and be restricted based on job role, project needs, data sensitivity, and regulatory requirements. Sensitive or restricted datasets must be stored in controlled environments.</t>
  </si>
  <si>
    <t>• Who has access to training/validation datasets?• Are RBAC and least privilege enforced?• Are sensitive datasets encrypted and stored in restricted zones?• Are access requests reviewed and approved formally?• Are periodic access reviews conducted?</t>
  </si>
  <si>
    <t>• Access control matrices• Dataset access logs• Encryption configuration records• Access request/approval forms• Periodic access review evidence</t>
  </si>
  <si>
    <t>A.9.4</t>
  </si>
  <si>
    <t>Training Data Poisoning Prevention</t>
  </si>
  <si>
    <t>The organization shall implement controls to detect and prevent data poisoning attacks by validating dataset integrity, monitoring anomalous patterns, and verifying dataset authenticity prior to training.</t>
  </si>
  <si>
    <t>• Are poisoning detection mechanisms implemented?• Are unusual data patterns (outliers, mislabeled data, adversarial artifacts) reviewed?• Are datasets scanned before training?• Are data-from-untrusted sources segregated or quarantined?• Is poisoning risk part of risk assessment?</t>
  </si>
  <si>
    <t>• Poisoning detection reports• Data validation logs• Segregation/quarantine workflow records• Dataset anomaly detection reports• Training pre-check documentation</t>
  </si>
  <si>
    <t>A.9.5</t>
  </si>
  <si>
    <t>Secure Storage of Datasets</t>
  </si>
  <si>
    <t>All AI datasets must be stored securely with encryption, access controls, monitoring, and backup procedures to prevent unauthorized access or data loss.</t>
  </si>
  <si>
    <t>• Are datasets encrypted at rest and in transit?• Are storage environments monitored for unauthorized access?• Are dataset backups stored securely?• Are disaster recovery requirements defined for datasets?• Is retention aligned with internal policies and laws?</t>
  </si>
  <si>
    <t>• Storage encryption configuration• Storage access logs• Backup and restore test reports• DR plan for datasets• Retention schedule documentation</t>
  </si>
  <si>
    <t>A.9.6</t>
  </si>
  <si>
    <t>Data Minimization &amp; Purpose Limitation</t>
  </si>
  <si>
    <t>The organization shall limit the collection and use of data to what is necessary for model performance, risk reduction, and lawful processing. Excess or unnecessary data shall be deleted or anonymized.</t>
  </si>
  <si>
    <t>• Does the organization collect only necessary data?• Are retention, minimization, and deletion policies defined for AI datasets?• Is unnecessary data identified and removed?• Are privacy and data minimization principles applied consistently?• Is anonymization applied where required?</t>
  </si>
  <si>
    <t>• Data minimization policies• Dataset retention/deletion logs• Anonymization procedure documentation• Dataset review logs for necessity• Privacy impact assessments</t>
  </si>
  <si>
    <t>Dataset Labeling Quality Controls</t>
  </si>
  <si>
    <t>The organization shall ensure accuracy, consistency, and integrity of labeled datasets by implementing labeling guidelines, dual-review processes, and automated validation checks where possible.</t>
  </si>
  <si>
    <t>• Are dataset labeling guidelines documented?• Is there a dual-review or quality-control process?• Are labeling errors tracked and corrected?• Are labelers trained and monitored?• Are automated validation tools used?</t>
  </si>
  <si>
    <t>• Labeling guidelines• Label quality audit logs• Training records for labelers• Labeled dataset samples• Error resolution logs</t>
  </si>
  <si>
    <t>Synthetic Data Controls</t>
  </si>
  <si>
    <t>When synthetic data is used, the organization shall ensure it does not leak sensitive information, introduce bias, or degrade model security or integrity.</t>
  </si>
  <si>
    <t>• Is synthetic data evaluated for privacy leakage?• Are bias and representation checks performed on synthetic datasets?• Is synthetic data generated through approved tools?• Are controls in place to prevent reverse-engineering of real data?• Is synthetic data documented in lineage records?</t>
  </si>
  <si>
    <t>• Synthetic data validation reports• Privacy leakage analysis• Bias testing results• Synthetic data generation logs• Lineage documentation including synthetic data traceability</t>
  </si>
  <si>
    <t>Model Integrity Protection</t>
  </si>
  <si>
    <t>The organization shall protect AI model files, weights, parameters, embeddings, and artifacts from unauthorized modification, tampering, corruption, or rollback to unapproved versions. Integrity controls must include hashing, signatures, controlled deployments, and monitored access.</t>
  </si>
  <si>
    <t>• How are model files (weights/checkpoints) protected from tampering?• Are hashes or signatures used to verify model integrity?• Are unauthorized model rollbacks prevented?• Who has access to update or deploy models?• Are integrity checks automated in pipelines?• Are deviations flagged and investigated?</t>
  </si>
  <si>
    <t>• Model integrity check logs• Hashing/signature records• Deployment approval logs• Access logs to model registries• Change control documentation</t>
  </si>
  <si>
    <t>Model Confidentiality &amp; Access Control</t>
  </si>
  <si>
    <t>AI models, especially proprietary or sensitive ones, must be protected using strict access controls, encryption, obfuscation, and segregation. Access shall be granted only based on role, need, and risk level.</t>
  </si>
  <si>
    <t>• Who has access to model artifacts?• Are confidential models encrypted in storage and transit?• Are access roles defined based on job tasks?• Are internal users prevented from downloading sensitive model weights?• Are access logs reviewed regularly?• Are production models isolated from development environments?</t>
  </si>
  <si>
    <t>• Access control matrix for model assets• Encryption configuration• Download restriction settings• Access review records• Model registry access logs</t>
  </si>
  <si>
    <t>Model Versioning &amp; Change Control</t>
  </si>
  <si>
    <t>The organization shall maintain controlled versioning of all models, with documented approval, testing, validation, and rollback procedures. Only authorized personnel may deploy new versions.</t>
  </si>
  <si>
    <t>• Is there a versioning system for all models?• Are changes formally approved before deployment?• Are model versions tied to datasets and training code?• Are rollback procedures documented and controlled?• Is pre-deployment testing mandatory?</t>
  </si>
  <si>
    <t>• Model version history logs• Change approval records• Deployment documentation• Testing and validation reports• Rollback procedure documentation</t>
  </si>
  <si>
    <t>A.10.4</t>
  </si>
  <si>
    <t>Model Extraction Resistance</t>
  </si>
  <si>
    <t>The organization shall implement protections against model extraction attacks that attempt to replicate AI behavior through repeated querying. Controls may include rate limiting, watermarking, response randomization, output restriction, and anomaly detection.</t>
  </si>
  <si>
    <t>• Are rate limits set for inference APIs?• Are extraction attempts detectable (high-volume or patterned queries)?• Are model watermarks or fingerprints implemented?• Are confidence scores restricted to reduce leakage?• Are abnormal query patterns logged and investigated?</t>
  </si>
  <si>
    <t>• API rate limit configurations• Extraction attempt logs• Watermarking or fingerprinting records• Restricted output configuration• Incident investigation logs</t>
  </si>
  <si>
    <t>A.10.5</t>
  </si>
  <si>
    <t>Model Inversion &amp; Membership Inference Resistance</t>
  </si>
  <si>
    <t>Controls shall prevent attackers from inferring training data or identifying whether specific individuals or records were used in training. Techniques include differential privacy, noise injection, limiting output granularity, or restricting confidence scores.</t>
  </si>
  <si>
    <t>• Are protections against inference attacks implemented?• Are confidence scores hidden or restricted?• Has DP or noise injection been evaluated or implemented?• Are output exposure risks documented and reviewed?• Are inference attack attempts monitored?</t>
  </si>
  <si>
    <t>• Differential privacy configurations• Output masking logs• Model exposure risk assessment• Monitoring logs for inference attacks• Documentation showing evaluation of mitigation techniques</t>
  </si>
  <si>
    <t>Model Watermarking &amp; Authenticity Controls</t>
  </si>
  <si>
    <t>Organizations shall watermark or uniquely tag models where feasible to verify authenticity, detect theft, and trace unauthorized copies.</t>
  </si>
  <si>
    <t>• Are proprietary models watermarked or uniquely tagged?• Are authenticity checks performed during deployment?• Are unauthorized model copies detectable?• Are watermarking processes documented and controlled?</t>
  </si>
  <si>
    <t>• Watermarking configuration documentation• Authenticity verification logs• Incident reports for unauthorized model copies• Watermark lifecycle documentation</t>
  </si>
  <si>
    <t>Secure Model Deployment</t>
  </si>
  <si>
    <t>Deployment processes must ensure that only validated, approved, and verified models are released to production. Deployment must include automated integrity checks, sandbox testing, and strict release controls.</t>
  </si>
  <si>
    <t>• Are models validated before deployment?• Are deployments automated with guardrails?• Are deployed models verified for integrity post-deployment?• Are deployment logs retained?• Is sandbox or staging testing performed before production?</t>
  </si>
  <si>
    <t>• Deployment logs• Validation reports• Sandbox/staging test evidence• Deployment pipeline documentation• Approval workflows</t>
  </si>
  <si>
    <t>Model Runtime Protection</t>
  </si>
  <si>
    <t>Runtime defenses must monitor model performance, detect abnormal behavior, prevent corruption, and ensure operational continuity. Runtime protections should identify adversarial inputs, misbehavior, or unexpected output patterns.</t>
  </si>
  <si>
    <t>• Are runtime protections (monitoring, drift detection, guardrails) implemented?• Are abnormal output patterns flagged?• Are runtime interruptions detected and escalated?• Are runtime logs reviewed regularly?• Is fail-safe or fallback logic implemented?</t>
  </si>
  <si>
    <t>• Runtime monitoring dashboards• Output anomaly logs• Drift detection results• Incident/fallback activation logs• Runtime protection configuration</t>
  </si>
  <si>
    <t>Cryptographic Protection of Model Assets</t>
  </si>
  <si>
    <t>Model files, weights, access tokens, and configuration artifacts shall be protected by encryption, secure key storage, tamper-resistant environments, and secure hashing mechanisms.</t>
  </si>
  <si>
    <t>• Are all model artifacts encrypted at rest?• Are encryption keys securely managed?• Are models hashed before deployment?• Are hardware-backed security modules used (HSM/TPM) where applicable?• Are cryptographic controls reviewed periodically?</t>
  </si>
  <si>
    <t>• Encryption configuration• Key management system logs• Hash records• HSM/TPM usage documentation• Internal audit logs of cryptographic processes</t>
  </si>
  <si>
    <t>Model Storage &amp; Registry Security</t>
  </si>
  <si>
    <t>AI model registries must be secured with access control, integrity verification, logging, and version isolation. Registry must prevent deletion, unauthorized uploads, or tampering.</t>
  </si>
  <si>
    <t>• Is the model registry access-controlled and monitored?• Are unauthorized uploads or deletions prevented?• Are registry logs reviewed?• Are registry environments segmented from public access?• Are registry integrity checks automated?</t>
  </si>
  <si>
    <t>• Model registry access logs• Registry segmentation configuration• Upload/delete protection settings• Registry integrity scan reports• Audit logs of registry activity</t>
  </si>
  <si>
    <t>A.11.1</t>
  </si>
  <si>
    <t>Stress Testing of AI Models</t>
  </si>
  <si>
    <t>The organization shall conduct routine stress tests to evaluate AI model behavior under extreme, unexpected, or adversarial operating conditions.</t>
  </si>
  <si>
    <t>• Are stress tests conducted for all production AI models?• Are extreme scenarios simulated (noisy data, corrupted inputs, load spikes)?• Are stress thresholds defined?• Are test results used to improve robustness?• Are stress events logged and reviewed?</t>
  </si>
  <si>
    <t>• Stress testing reports• Defined stress scenarios• Test results and remediation records• Threshold configuration files• Governance review minutes</t>
  </si>
  <si>
    <t>A.11.2</t>
  </si>
  <si>
    <t>Fail-Safe &amp; Graceful Degradation</t>
  </si>
  <si>
    <t>The organization shall implement fail-safe controls that ensure the AI system degrades safely during abnormal operation, rather than producing harmful or uncontrolled outputs.</t>
  </si>
  <si>
    <t>• Does the system have defined fail-safe modes?• Are fallback rules documented (e.g., disable AI outputs, switch to rule-based mode, require human review)?• Are failure conditions automatically detected?• Is there monitoring for fail-safe activation?• Are users alerted during fallback?</t>
  </si>
  <si>
    <t>• Fail-safe design documentation• Fallback activation logs• Alerts or notifications issued• Diagrams showing fallback paths• Incident logs of fail-safe events</t>
  </si>
  <si>
    <t>A.11.3</t>
  </si>
  <si>
    <t>Robustness Against Operational Disruptions</t>
  </si>
  <si>
    <t>The organization shall protect AI systems from operational disruptions such as compute shortages, degraded network performance, storage issues, or cloud outages.</t>
  </si>
  <si>
    <t>• Are dependencies (GPU, storage, compute) monitored?• Are resource exhaustion scenarios tested?• Are fallback compute resources available?• Are autoscaling rules documented?• Are network or compute outages simulated?</t>
  </si>
  <si>
    <t>• Resource monitoring dashboards• Incident simulations• Autoscaling configuration• Logs of CPU/GPU starvation events• DR testing records</t>
  </si>
  <si>
    <t>A.11.4</t>
  </si>
  <si>
    <t>Red-Teaming for AI Resilience</t>
  </si>
  <si>
    <t>The organization shall perform periodic red-team exercises focused on AI resilience, covering adversarial attacks, robustness failure, and combined attack scenarios.</t>
  </si>
  <si>
    <t>• Are AI-specific red-team exercises performed?• Are adversarial attack methods simulated?• Are findings documented and remediated?• Is senior leadership informed of red-team results?• Are training datasets or models updated after red-team findings?</t>
  </si>
  <si>
    <t>• Red-team reports• Attack scenario details• Remediation logs• Executive review summaries• Updated model/version records</t>
  </si>
  <si>
    <t>A.11.5</t>
  </si>
  <si>
    <t>Continual Resilience Evaluation</t>
  </si>
  <si>
    <t>AI systems shall undergo periodic evaluation of resilience, stress capacity, adversarial robustness, fallback effectiveness, and recovery capability.</t>
  </si>
  <si>
    <t>• Are resilience assessments performed at defined intervals?• Are resilience KPIs measured?• Are changes in system context or data included in re-evaluation?• Are resilience weaknesses tracked to closure?• Are evaluation results linked to retraining or redesign processes?</t>
  </si>
  <si>
    <t>• Resilience evaluation reports• KPI dashboards• Model update logs• Remediation tracking sheets• Review committee meeting notes</t>
  </si>
  <si>
    <t>A.12.1</t>
  </si>
  <si>
    <t>AI-Specific Incident Classification</t>
  </si>
  <si>
    <t>The organization shall classify incidents that specifically affect AI systems, including model corruption, poisoning, adversarial attacks, prompt-based compromise, hallucination-based harm, or unauthorized model access.</t>
  </si>
  <si>
    <t>• Are AI-specific incident categories defined?• Are triggers documented for AI security incidents?• Does classification include hallucination incidents?• Are privacy-related AI incidents categorized?• Are AI incidents distinguished from general IT incidents?</t>
  </si>
  <si>
    <t>• Incident classification matrix• AI incident response playbooks• Example classified incident tickets• IR policy showing AI-specific scope</t>
  </si>
  <si>
    <t>A.12.2</t>
  </si>
  <si>
    <t>AI-Specific Incident Response Procedures</t>
  </si>
  <si>
    <t>The organization shall implement response steps tailored to AI incidents, including isolating models, freezing pipelines, validating datasets, and verifying integrity.</t>
  </si>
  <si>
    <t>• Does IR include steps to isolate compromised models?• Are training pipelines suspended during investigation?• Are datasets validated for poisoning post-incident?• Are rollback or safe models available?• Are AI SMEs involved in incident handling?</t>
  </si>
  <si>
    <t>• AI incident response playbooks• Isolation procedure logs• Dataset revalidation records• Model rollback documentation• Incident case files</t>
  </si>
  <si>
    <t>A.12.3</t>
  </si>
  <si>
    <t>Forensic Analysis of AI Incidents</t>
  </si>
  <si>
    <t>Organizations must perform AI-specific forensic analysis on datasets, models, logs, inference history, and deployment pipelines.</t>
  </si>
  <si>
    <t>• Are forensic procedures defined for AI systems?• Are model weights and embeddings preserved during forensic collection?• Are inference logs analyzed for malicious prompts or patterns?• Is dataset integrity reassessed?• Is chain-of-custody maintained?</t>
  </si>
  <si>
    <t>• Forensic analysis reports• Preserved model snapshots• Inference log exports• Dataset integrity check results• Chain-of-custody forms</t>
  </si>
  <si>
    <t>A.12.4</t>
  </si>
  <si>
    <t>Recovery &amp; Model Restoration</t>
  </si>
  <si>
    <t>The organization shall define and test procedures for restoring normal AI operation after incidents, including restoration of models, datasets, pipelines, and configurations.</t>
  </si>
  <si>
    <t>• Are model backup procedures documented?• Are models restorable to known-good versions?• Are DR/BCP tests conducted for AI systems?• Are restored models revalidated before production?• Are lessons learned applied to redesign?</t>
  </si>
  <si>
    <t>• AI backup and restoration logs• DR/BCP test reports• Model validation reports• Recovery approval records• Change management logs</t>
  </si>
  <si>
    <t>A.12.5</t>
  </si>
  <si>
    <t>Business Continuity for AI Systems</t>
  </si>
  <si>
    <t>The organization shall incorporate AI-system continuity requirements (compute availability, alternative inference paths, fallback workflows) into business continuity plans.</t>
  </si>
  <si>
    <t>• Is AI included in business continuity planning?• Are alternative compute or inference paths defined?• Is there a plan for degraded AI capability (fallback to humans)?• Are continuity tests performed for AI workflows?• Are continuity dependencies (cloud, GPUs) identified?</t>
  </si>
  <si>
    <t>• Business continuity plans including AI• Continuity test results• Dependency mapping diagrams• Evidence of fallback workflow testing</t>
  </si>
  <si>
    <t>A.12.6</t>
  </si>
  <si>
    <t>Lessons Learned &amp; Continuous Improvement</t>
  </si>
  <si>
    <t>After AI incidents, the organization must capture lessons learned and apply improvements to model design, datasets, pipelines, processes, and governance.</t>
  </si>
  <si>
    <t>• Are lessons learned workshops performed after AI incidents?• Are improvements tracked and implemented?• Are model updates triggered by incident findings?• Are governance committees reviewing lessons?</t>
  </si>
  <si>
    <t>• Lessons learned reports• Improvement tracking logs• Model update/retraining documents• Governance review minutes</t>
  </si>
  <si>
    <t>Maturity Level</t>
  </si>
  <si>
    <t>Name</t>
  </si>
  <si>
    <t>Description (Assessor Guidance)</t>
  </si>
  <si>
    <t>Not Implemented</t>
  </si>
  <si>
    <t>No control exists. No evidence of planning, documentation, implementation, or responsibility. High-risk and unmanaged.</t>
  </si>
  <si>
    <t>Initial / Ad Hoc</t>
  </si>
  <si>
    <t>Control is informally in place but inconsistent, undocumented, or reactive. Highly dependent on individuals, not processes. No measurable effectiveness.</t>
  </si>
  <si>
    <t>Developing / Partially Implemented</t>
  </si>
  <si>
    <t>Control has been partially implemented. Some documentation exists, but implementation is inconsistent or incomplete. Monitoring or review is minimal.</t>
  </si>
  <si>
    <t>Defined / Implemented</t>
  </si>
  <si>
    <t>Control is documented, consistently applied, and supported by assigned roles. Procedures exist and are followed. Some monitoring or periodic reviews occur.</t>
  </si>
  <si>
    <t>Managed &amp; Measured</t>
  </si>
  <si>
    <t>Control is monitored, measured, and evaluated for effectiveness. Metrics, logs, testing, or validation activities demonstrate consistent operation. Improvements are driven by results.</t>
  </si>
  <si>
    <t>Optimized / Continuous Improvement</t>
  </si>
  <si>
    <t>Control is fully mature, automated where appropriate, and integrated into AI risk management. Continuous improvement processes exist. Considered best-in-class and risk-driven.</t>
  </si>
  <si>
    <t>Maturity Model</t>
  </si>
  <si>
    <t>Scoring Formula</t>
  </si>
  <si>
    <t>Weighted Score = Maturity × 3</t>
  </si>
  <si>
    <t>Where:</t>
  </si>
  <si>
    <r>
      <t>Maturity</t>
    </r>
    <r>
      <rPr>
        <sz val="11"/>
        <color theme="1"/>
        <rFont val="Aptos Narrow"/>
        <family val="2"/>
        <scheme val="minor"/>
      </rPr>
      <t xml:space="preserve"> is from </t>
    </r>
    <r>
      <rPr>
        <b/>
        <sz val="11"/>
        <color theme="1"/>
        <rFont val="Aptos Narrow"/>
        <family val="2"/>
        <scheme val="minor"/>
      </rPr>
      <t>0 to 5</t>
    </r>
  </si>
  <si>
    <r>
      <t xml:space="preserve">Maximum score per control = </t>
    </r>
    <r>
      <rPr>
        <b/>
        <sz val="11"/>
        <color theme="1"/>
        <rFont val="Aptos Narrow"/>
        <family val="2"/>
        <scheme val="minor"/>
      </rPr>
      <t>15</t>
    </r>
  </si>
  <si>
    <t>Color Coding</t>
  </si>
  <si>
    <t>Score Range</t>
  </si>
  <si>
    <t>Meaning</t>
  </si>
  <si>
    <t>Color</t>
  </si>
  <si>
    <t>0–1</t>
  </si>
  <si>
    <t>High Risk</t>
  </si>
  <si>
    <t>Medium Risk</t>
  </si>
  <si>
    <t>Defined</t>
  </si>
  <si>
    <t>Good</t>
  </si>
  <si>
    <t>Best Practice</t>
  </si>
  <si>
    <t>Red</t>
  </si>
  <si>
    <t>Orange</t>
  </si>
  <si>
    <t>Yellow</t>
  </si>
  <si>
    <t>Light Green</t>
  </si>
  <si>
    <t>Dark Green</t>
  </si>
  <si>
    <t>Domain</t>
  </si>
  <si>
    <t>Normalized Score (0–100)</t>
  </si>
  <si>
    <t>Comments/ Assessment Notes</t>
  </si>
  <si>
    <t>Maturity (0-5)</t>
  </si>
  <si>
    <t>Weight (3)</t>
  </si>
  <si>
    <t>Weighted Score (G*H)</t>
  </si>
  <si>
    <t>Domain 2 – AI Security Objectives</t>
  </si>
  <si>
    <t>Domain 1 – Scope Requirements</t>
  </si>
  <si>
    <t>Domain 3 – Performance Monitoring</t>
  </si>
  <si>
    <t>Domain 4 – Risk Management</t>
  </si>
  <si>
    <t>DOMAIN 5 — DATA SECURITY &amp; POISONING PROTECTION</t>
  </si>
  <si>
    <t>DOMAIN 6 — ADVERSARIAL &amp; ROBUSTNESS CONTROLS</t>
  </si>
  <si>
    <t>DOMAIN 7 — MODEL INTEGRITY, SECURITY &amp; GOVERNANCE</t>
  </si>
  <si>
    <t>DOMAIN 8 — API, INTERFACE &amp; INFERENCE SECURITY</t>
  </si>
  <si>
    <t>DOMAIN 9 — INFRASTRUCTURE, ENVIRONMENT &amp; ACCESS SECURITY</t>
  </si>
  <si>
    <t>DOMAIN 10— SUPPLY CHAIN &amp; THIRD-PARTY AI SECURITY</t>
  </si>
  <si>
    <t>DOMAIN 11 — LLM &amp; GENERATIVE AI SECURITY</t>
  </si>
  <si>
    <t>DOMAIN 12 — MONITORING, DETECTION &amp; FORENSICS</t>
  </si>
  <si>
    <t>A</t>
  </si>
  <si>
    <t>B</t>
  </si>
  <si>
    <t>Score</t>
  </si>
  <si>
    <t>DOMAIN 13 — DATA SECURITY (Integrity, Protection &amp; Dataset Defense)</t>
  </si>
  <si>
    <t>DOMAIN 14 — MODEL SECURITY (Integrity, Confidentiality &amp; Defense)</t>
  </si>
  <si>
    <t>DOMAIN 15 — RESILIENCE, STRESS TESTING &amp; FAIL-SAFE CONTROLS</t>
  </si>
  <si>
    <t>DOMAIN 16 — INCIDENT RESPONSE, RECOVERY &amp; CONTINUITY FOR AI SYSTEMS</t>
  </si>
  <si>
    <t>A.11.6</t>
  </si>
  <si>
    <t>A.11.7</t>
  </si>
  <si>
    <t>A.11.8</t>
  </si>
  <si>
    <t>A.12.7</t>
  </si>
  <si>
    <t>A.13.1</t>
  </si>
  <si>
    <t>A.13.2</t>
  </si>
  <si>
    <t>A.13.3</t>
  </si>
  <si>
    <t>A.13.4</t>
  </si>
  <si>
    <t>A.13.5</t>
  </si>
  <si>
    <t>A.13.6</t>
  </si>
  <si>
    <t>A.13.7</t>
  </si>
  <si>
    <t>A.13.8</t>
  </si>
  <si>
    <t>A.14.1</t>
  </si>
  <si>
    <t>A.14.2</t>
  </si>
  <si>
    <t>A.14.3</t>
  </si>
  <si>
    <t>A.14.4</t>
  </si>
  <si>
    <t>A.14.5</t>
  </si>
  <si>
    <t>A.14.6</t>
  </si>
  <si>
    <t>A.14.7</t>
  </si>
  <si>
    <t>A.14.8</t>
  </si>
  <si>
    <t>A.14.9</t>
  </si>
  <si>
    <t>A.14.10</t>
  </si>
  <si>
    <t>A.15.1</t>
  </si>
  <si>
    <t>A.15.2</t>
  </si>
  <si>
    <t>A.15.3</t>
  </si>
  <si>
    <t>A.15.4</t>
  </si>
  <si>
    <t>A.15.5</t>
  </si>
  <si>
    <t>A.16.1</t>
  </si>
  <si>
    <t>A.16.2</t>
  </si>
  <si>
    <t>A.16.3</t>
  </si>
  <si>
    <t>A.16.4</t>
  </si>
  <si>
    <t>A.16.5</t>
  </si>
  <si>
    <t>A.16.6</t>
  </si>
  <si>
    <r>
      <t>3</t>
    </r>
    <r>
      <rPr>
        <sz val="11"/>
        <color theme="1"/>
        <rFont val="Aptos Narrow"/>
        <family val="2"/>
        <scheme val="minor"/>
      </rPr>
      <t xml:space="preserve"> is the fixed weight you selected </t>
    </r>
  </si>
  <si>
    <t>DOMAIN SCORE → RISK LEVEL → COLOR CODE</t>
  </si>
  <si>
    <t>Domain Score %</t>
  </si>
  <si>
    <t>Risk Level</t>
  </si>
  <si>
    <t>0% – 20%</t>
  </si>
  <si>
    <t>Very Low</t>
  </si>
  <si>
    <t>Critical Risk</t>
  </si>
  <si>
    <t>21% – 40%</t>
  </si>
  <si>
    <t>Low</t>
  </si>
  <si>
    <t>41% – 60%</t>
  </si>
  <si>
    <t>Medium</t>
  </si>
  <si>
    <t>Moderate Risk</t>
  </si>
  <si>
    <t>61% – 80%</t>
  </si>
  <si>
    <t>High</t>
  </si>
  <si>
    <t>Low Risk</t>
  </si>
  <si>
    <t>81% – 100%</t>
  </si>
  <si>
    <t>Very High</t>
  </si>
  <si>
    <t>Minimal Risk</t>
  </si>
  <si>
    <r>
      <t>Identification &amp; Completeness</t>
    </r>
    <r>
      <rPr>
        <sz val="11"/>
        <color theme="1"/>
        <rFont val="Aptos Narrow"/>
        <family val="2"/>
        <scheme val="minor"/>
      </rPr>
      <t xml:space="preserve">• Has the organization identified </t>
    </r>
    <r>
      <rPr>
        <i/>
        <sz val="11"/>
        <color theme="1"/>
        <rFont val="Aptos Narrow"/>
        <family val="2"/>
        <scheme val="minor"/>
      </rPr>
      <t>all</t>
    </r>
    <r>
      <rPr>
        <sz val="11"/>
        <color theme="1"/>
        <rFont val="Aptos Narrow"/>
        <family val="2"/>
        <scheme val="minor"/>
      </rPr>
      <t xml:space="preserve"> AI models, datasets, APIs, pipelines, and LLMs?• Does the inventory include internal models, fine-tuned models, open-source models, embedded AI features, and vendor-supplied AI services?• Are any shadow/unapproved AI systems detected or acknowledged?
</t>
    </r>
    <r>
      <rPr>
        <b/>
        <sz val="11"/>
        <color theme="1"/>
        <rFont val="Aptos Narrow"/>
        <family val="2"/>
        <scheme val="minor"/>
      </rPr>
      <t>Risk Classification</t>
    </r>
    <r>
      <rPr>
        <sz val="11"/>
        <color theme="1"/>
        <rFont val="Aptos Narrow"/>
        <family val="2"/>
        <scheme val="minor"/>
      </rPr>
      <t xml:space="preserve">• Has each AI system been classified by cybersecurity risk level (high/medium/low)?• Does the classification consider AI-specific risks: data poisoning, adversarial attacks, model inversion, membership inference, drift, model extraction, prompt injection, API misuse, supply chain exposure?• Is the risk classification tied to the organization’s AI risk assessment process?
</t>
    </r>
    <r>
      <rPr>
        <b/>
        <sz val="11"/>
        <color theme="1"/>
        <rFont val="Aptos Narrow"/>
        <family val="2"/>
        <scheme val="minor"/>
      </rPr>
      <t>Boundaries &amp; Dependencies</t>
    </r>
    <r>
      <rPr>
        <sz val="11"/>
        <color theme="1"/>
        <rFont val="Aptos Narrow"/>
        <family val="2"/>
        <scheme val="minor"/>
      </rPr>
      <t xml:space="preserve">• Are technical boundaries defined for each system (cloud, on-prem, hybrid, internal/external data sources)?• Are third-party AI components (OpenAI, Hugging Face, AWS Bedrock, etc.) included in the scope?• Are integration points where AI security risks originate clearly documented?
</t>
    </r>
    <r>
      <rPr>
        <b/>
        <sz val="11"/>
        <color theme="1"/>
        <rFont val="Aptos Narrow"/>
        <family val="2"/>
        <scheme val="minor"/>
      </rPr>
      <t>Governance</t>
    </r>
    <r>
      <rPr>
        <sz val="11"/>
        <color theme="1"/>
        <rFont val="Aptos Narrow"/>
        <family val="2"/>
        <scheme val="minor"/>
      </rPr>
      <t>• Is a system owner assigned for each AI system?• Has leadership reviewed and approved the AI systems included in scope?• Are responsibilities for maintaining the inventory defined and active?</t>
    </r>
  </si>
  <si>
    <t>• AI system inventory (full list of models, datasets, pipelines, APIs).
• AI system risk classification register (showing AI-specific risks).
• Architecture diagrams (data flow, model flow, dependency mapping).
• AI cybersecurity risk assessment (covering poisoning, adversarial attack, inversion, extraction, drift, supply chain, prompt injection).
• List of third-party AI services and open-source models.
• Shadow AI identification logs (if applicable).
• RACI matrix or ownership assignment table.
• Management approval of scope/inventory.
• Version-controlled history of inventory updates.</t>
  </si>
  <si>
    <t>INTRODUCTION &amp; USER GUIDE</t>
  </si>
  <si>
    <t>AI Cybersecurity Maturity Assessment Tool</t>
  </si>
  <si>
    <t>BSI Digital Trust</t>
  </si>
  <si>
    <t>This workbook supports the assessment of an organization’s AI cybersecurity posture across multiple domains. It is designed to help assessors evaluate controls, assign maturity scores, and automatically generate risk-weighted domain scores and visual dashboards.</t>
  </si>
  <si>
    <t>Use this guide to understand how each sheet functions and how to complete the assessment properly.</t>
  </si>
  <si>
    <t>Scoring Matrix</t>
  </si>
  <si>
    <t>This is where the assessor performs the actual assessment.</t>
  </si>
  <si>
    <t>How to Use This Sheet</t>
  </si>
  <si>
    <t>1. Review each control requirement row-by-row.</t>
  </si>
  <si>
    <r>
      <t xml:space="preserve">2. Use the </t>
    </r>
    <r>
      <rPr>
        <b/>
        <sz val="11"/>
        <color theme="1"/>
        <rFont val="Aptos Narrow"/>
        <family val="2"/>
        <scheme val="minor"/>
      </rPr>
      <t>Test Procedure</t>
    </r>
    <r>
      <rPr>
        <sz val="11"/>
        <color theme="1"/>
        <rFont val="Aptos Narrow"/>
        <family val="2"/>
        <scheme val="minor"/>
      </rPr>
      <t xml:space="preserve"> column to guide your evaluation.</t>
    </r>
  </si>
  <si>
    <r>
      <t xml:space="preserve">3. Review and verify required </t>
    </r>
    <r>
      <rPr>
        <b/>
        <sz val="11"/>
        <color theme="1"/>
        <rFont val="Aptos Narrow"/>
        <family val="2"/>
        <scheme val="minor"/>
      </rPr>
      <t>Evidence</t>
    </r>
    <r>
      <rPr>
        <sz val="11"/>
        <color theme="1"/>
        <rFont val="Aptos Narrow"/>
        <family val="2"/>
        <scheme val="minor"/>
      </rPr>
      <t>.</t>
    </r>
  </si>
  <si>
    <t>Important</t>
  </si>
  <si>
    <r>
      <t xml:space="preserve">Every row must have a </t>
    </r>
    <r>
      <rPr>
        <b/>
        <sz val="11"/>
        <color theme="1"/>
        <rFont val="Aptos Narrow"/>
        <family val="2"/>
        <scheme val="minor"/>
      </rPr>
      <t>Domain</t>
    </r>
    <r>
      <rPr>
        <sz val="11"/>
        <color theme="1"/>
        <rFont val="Aptos Narrow"/>
        <family val="2"/>
        <scheme val="minor"/>
      </rPr>
      <t xml:space="preserve"> assignment in Column </t>
    </r>
    <r>
      <rPr>
        <b/>
        <sz val="11"/>
        <color theme="1"/>
        <rFont val="Aptos Narrow"/>
        <family val="2"/>
        <scheme val="minor"/>
      </rPr>
      <t>A</t>
    </r>
    <r>
      <rPr>
        <sz val="11"/>
        <color theme="1"/>
        <rFont val="Aptos Narrow"/>
        <family val="2"/>
        <scheme val="minor"/>
      </rPr>
      <t xml:space="preserve"> so the model can compute domain maturity.</t>
    </r>
  </si>
  <si>
    <r>
      <t xml:space="preserve">Do not replace formulas in the </t>
    </r>
    <r>
      <rPr>
        <b/>
        <sz val="11"/>
        <color theme="1"/>
        <rFont val="Aptos Narrow"/>
        <family val="2"/>
        <scheme val="minor"/>
      </rPr>
      <t>Weighted Score</t>
    </r>
    <r>
      <rPr>
        <sz val="11"/>
        <color theme="1"/>
        <rFont val="Aptos Narrow"/>
        <family val="2"/>
        <scheme val="minor"/>
      </rPr>
      <t xml:space="preserve"> column.</t>
    </r>
  </si>
  <si>
    <r>
      <t xml:space="preserve">5. The tool automatically calculates the </t>
    </r>
    <r>
      <rPr>
        <b/>
        <sz val="11"/>
        <color theme="1"/>
        <rFont val="Aptos Narrow"/>
        <family val="2"/>
        <scheme val="minor"/>
      </rPr>
      <t>Weighted Score</t>
    </r>
    <r>
      <rPr>
        <sz val="11"/>
        <color theme="1"/>
        <rFont val="Aptos Narrow"/>
        <family val="2"/>
        <scheme val="minor"/>
      </rPr>
      <t xml:space="preserve"> in Column </t>
    </r>
    <r>
      <rPr>
        <b/>
        <sz val="11"/>
        <color theme="1"/>
        <rFont val="Aptos Narrow"/>
        <family val="2"/>
        <scheme val="minor"/>
      </rPr>
      <t>I</t>
    </r>
    <r>
      <rPr>
        <sz val="11"/>
        <color theme="1"/>
        <rFont val="Aptos Narrow"/>
        <family val="2"/>
        <scheme val="minor"/>
      </rPr>
      <t>.</t>
    </r>
  </si>
  <si>
    <r>
      <t xml:space="preserve">6. Enter assessment notes in the </t>
    </r>
    <r>
      <rPr>
        <b/>
        <sz val="11"/>
        <color theme="1"/>
        <rFont val="Aptos Narrow"/>
        <family val="2"/>
        <scheme val="minor"/>
      </rPr>
      <t>Comments</t>
    </r>
    <r>
      <rPr>
        <sz val="11"/>
        <color theme="1"/>
        <rFont val="Aptos Narrow"/>
        <family val="2"/>
        <scheme val="minor"/>
      </rPr>
      <t xml:space="preserve"> column.</t>
    </r>
  </si>
  <si>
    <r>
      <t xml:space="preserve">4. Select a </t>
    </r>
    <r>
      <rPr>
        <b/>
        <sz val="11"/>
        <color theme="1"/>
        <rFont val="Aptos Narrow"/>
        <family val="2"/>
        <scheme val="minor"/>
      </rPr>
      <t>Maturity score (0–5)</t>
    </r>
    <r>
      <rPr>
        <sz val="11"/>
        <color theme="1"/>
        <rFont val="Aptos Narrow"/>
        <family val="2"/>
        <scheme val="minor"/>
      </rPr>
      <t xml:space="preserve"> from the dropdown list in Column G.</t>
    </r>
  </si>
  <si>
    <r>
      <t xml:space="preserve">Weight is set to </t>
    </r>
    <r>
      <rPr>
        <b/>
        <sz val="11"/>
        <color theme="1"/>
        <rFont val="Aptos Narrow"/>
        <family val="2"/>
        <scheme val="minor"/>
      </rPr>
      <t>3</t>
    </r>
    <r>
      <rPr>
        <sz val="11"/>
        <color theme="1"/>
        <rFont val="Aptos Narrow"/>
        <family val="2"/>
        <scheme val="minor"/>
      </rPr>
      <t xml:space="preserve"> for all controls </t>
    </r>
  </si>
  <si>
    <t>Domain Summary</t>
  </si>
  <si>
    <r>
      <t xml:space="preserve">This sheet calculates maturity at the </t>
    </r>
    <r>
      <rPr>
        <b/>
        <sz val="11"/>
        <color theme="1"/>
        <rFont val="Aptos Narrow"/>
        <family val="2"/>
        <scheme val="minor"/>
      </rPr>
      <t>domain level</t>
    </r>
    <r>
      <rPr>
        <sz val="11"/>
        <color theme="1"/>
        <rFont val="Aptos Narrow"/>
        <family val="2"/>
        <scheme val="minor"/>
      </rPr>
      <t>.</t>
    </r>
  </si>
  <si>
    <t>How It Works</t>
  </si>
  <si>
    <t>Each domain’s score is calculated from all controls linked to that domain.</t>
  </si>
  <si>
    <r>
      <t xml:space="preserve">Formula automatically normalizes maturity into a </t>
    </r>
    <r>
      <rPr>
        <b/>
        <sz val="11"/>
        <color theme="1"/>
        <rFont val="Aptos Narrow"/>
        <family val="2"/>
        <scheme val="minor"/>
      </rPr>
      <t>0–100% score</t>
    </r>
    <r>
      <rPr>
        <sz val="11"/>
        <color theme="1"/>
        <rFont val="Aptos Narrow"/>
        <family val="2"/>
        <scheme val="minor"/>
      </rPr>
      <t>.</t>
    </r>
  </si>
  <si>
    <t>Conditional formatting highlights high-risk domains based on scoring bands:</t>
  </si>
  <si>
    <t>0–20% = Critical Risk (Red)</t>
  </si>
  <si>
    <t>21–40% = High Risk (Orange)</t>
  </si>
  <si>
    <t>41–60% = Moderate Risk (Yellow)</t>
  </si>
  <si>
    <t>61–80% = Low Risk (Light Green)</t>
  </si>
  <si>
    <t>81–100% = Minimal Risk (Green)</t>
  </si>
  <si>
    <t>Purpose of Domain Scores</t>
  </si>
  <si>
    <t>Identify high-risk cybersecurity areas.</t>
  </si>
  <si>
    <t>Prioritize remediation for the client.</t>
  </si>
  <si>
    <t>Provide a concise overview for reporting.</t>
  </si>
  <si>
    <t>Feed the Radar Chart in Sheet 3.</t>
  </si>
  <si>
    <t>Radar Data</t>
  </si>
  <si>
    <r>
      <t xml:space="preserve">This sheet holds the dataset required for generating the </t>
    </r>
    <r>
      <rPr>
        <b/>
        <sz val="11"/>
        <color theme="1"/>
        <rFont val="Aptos Narrow"/>
        <family val="2"/>
        <scheme val="minor"/>
      </rPr>
      <t>Radar (Spider) Chart</t>
    </r>
    <r>
      <rPr>
        <sz val="11"/>
        <color theme="1"/>
        <rFont val="Aptos Narrow"/>
        <family val="2"/>
        <scheme val="minor"/>
      </rPr>
      <t>.</t>
    </r>
  </si>
  <si>
    <t>Each domain has a corresponding maturity percentage.</t>
  </si>
  <si>
    <t>Radar chart references Columns A and B for visual plotting.</t>
  </si>
  <si>
    <t>When maturity scores are updated in the Scoring Matrix, the radar chart automatically updates.</t>
  </si>
  <si>
    <t>Purpose</t>
  </si>
  <si>
    <t>Visual representation of strengths and weaknesses across AI cybersecurity domains.</t>
  </si>
  <si>
    <t>Helps the client understand posture at a glance.</t>
  </si>
  <si>
    <t>Ideal for executive-level reporting.</t>
  </si>
  <si>
    <t>Radar Chart</t>
  </si>
  <si>
    <t>This sheet contains the actual radar/spider chart.</t>
  </si>
  <si>
    <t>How to Use</t>
  </si>
  <si>
    <t>No data entry required.</t>
  </si>
  <si>
    <t>Chart updates automatically when:</t>
  </si>
  <si>
    <t>Maturity scores change</t>
  </si>
  <si>
    <t>Domain Summary recalculates</t>
  </si>
  <si>
    <t>Controls are updated</t>
  </si>
  <si>
    <t>Visualizes domain maturity in a single snapshot.</t>
  </si>
  <si>
    <t>Supports decision-making and risk prioritization.</t>
  </si>
  <si>
    <t>Provides definitions for:</t>
  </si>
  <si>
    <t>Maturity scoring scale (0–5)</t>
  </si>
  <si>
    <t>Domain descriptions</t>
  </si>
  <si>
    <t>How to perform assessments</t>
  </si>
  <si>
    <t>Evidence expectations</t>
  </si>
  <si>
    <t>Risk scoring methodology</t>
  </si>
  <si>
    <t>This sheet ensures consistency among assessors.</t>
  </si>
  <si>
    <t>Methodology</t>
  </si>
  <si>
    <t>Assessment Workflow (Step-by-Step)</t>
  </si>
  <si>
    <t>1. Start in Scoring Matrix</t>
  </si>
  <si>
    <t>Review controls</t>
  </si>
  <si>
    <t>Assess maturity (0–5)</t>
  </si>
  <si>
    <t>Add notes</t>
  </si>
  <si>
    <t>2. Domain Summary Updates Automatically</t>
  </si>
  <si>
    <t>Weighted scores aggregated</t>
  </si>
  <si>
    <t>Domain percentages calculated</t>
  </si>
  <si>
    <t>Risk colors applied</t>
  </si>
  <si>
    <t>3. Radar Data Refreshes Automatically</t>
  </si>
  <si>
    <t>Domain scores mapped to radar axes</t>
  </si>
  <si>
    <t>4. Radar Chart Updates Automatically</t>
  </si>
  <si>
    <t>Provides the visual maturity profile</t>
  </si>
  <si>
    <t>5. Review, Validate, Export Findings</t>
  </si>
  <si>
    <t>Identify high-risk domains</t>
  </si>
  <si>
    <t>Prepare client recommendations</t>
  </si>
  <si>
    <t>Protected Fields &amp; Cautions</t>
  </si>
  <si>
    <r>
      <t xml:space="preserve">Do not overwrite formulas in Columns </t>
    </r>
    <r>
      <rPr>
        <b/>
        <sz val="11"/>
        <color theme="1"/>
        <rFont val="Aptos Narrow"/>
        <family val="2"/>
        <scheme val="minor"/>
      </rPr>
      <t>I</t>
    </r>
    <r>
      <rPr>
        <sz val="11"/>
        <color theme="1"/>
        <rFont val="Aptos Narrow"/>
        <family val="2"/>
        <scheme val="minor"/>
      </rPr>
      <t>, Domain Summary formulas, or Radar Data references.</t>
    </r>
  </si>
  <si>
    <t>Add new controls only after copying formulas downward.</t>
  </si>
  <si>
    <r>
      <t xml:space="preserve">Weight values should remain </t>
    </r>
    <r>
      <rPr>
        <b/>
        <sz val="11"/>
        <color theme="1"/>
        <rFont val="Aptos Narrow"/>
        <family val="2"/>
        <scheme val="minor"/>
      </rPr>
      <t>3</t>
    </r>
    <r>
      <rPr>
        <sz val="11"/>
        <color theme="1"/>
        <rFont val="Aptos Narrow"/>
        <family val="2"/>
        <scheme val="minor"/>
      </rPr>
      <t xml:space="preserve"> unless the model is redesigned.</t>
    </r>
  </si>
  <si>
    <t>Abbreviation</t>
  </si>
  <si>
    <t>AI</t>
  </si>
  <si>
    <t>Artificial Intelligence</t>
  </si>
  <si>
    <t>ML</t>
  </si>
  <si>
    <t>Machine Learning</t>
  </si>
  <si>
    <t>LLM</t>
  </si>
  <si>
    <t>Large Language Model</t>
  </si>
  <si>
    <t>MLOps</t>
  </si>
  <si>
    <t>Machine Learning Operations</t>
  </si>
  <si>
    <t>CI/CD</t>
  </si>
  <si>
    <t>Continuous Integration / Continuous Deployment</t>
  </si>
  <si>
    <t>API</t>
  </si>
  <si>
    <t>Application Programming Interface</t>
  </si>
  <si>
    <t>IP</t>
  </si>
  <si>
    <t>Intellectual Property</t>
  </si>
  <si>
    <t>PII</t>
  </si>
  <si>
    <t>Personally Identifiable Information</t>
  </si>
  <si>
    <t>RBAC</t>
  </si>
  <si>
    <t>Role-Based Access Control</t>
  </si>
  <si>
    <t>ABAC</t>
  </si>
  <si>
    <t>Attribute-Based Access Control</t>
  </si>
  <si>
    <t>IAM</t>
  </si>
  <si>
    <t>Identity and Access Management</t>
  </si>
  <si>
    <t>SIEM</t>
  </si>
  <si>
    <t>Security Information and Event Management</t>
  </si>
  <si>
    <t>SOC</t>
  </si>
  <si>
    <t>Security Operations Center</t>
  </si>
  <si>
    <t>IDS/IPS</t>
  </si>
  <si>
    <t>Intrusion Detection System / Intrusion Prevention System</t>
  </si>
  <si>
    <t>DoS / DDoS</t>
  </si>
  <si>
    <t>Denial-of-Service / Distributed Denial-of-Service</t>
  </si>
  <si>
    <t>NLP</t>
  </si>
  <si>
    <t>Natural Language Processing</t>
  </si>
  <si>
    <t>GDPR</t>
  </si>
  <si>
    <t>General Data Protection Regulation</t>
  </si>
  <si>
    <t>CCPA</t>
  </si>
  <si>
    <t>California Consumer Privacy Act</t>
  </si>
  <si>
    <t>NIST</t>
  </si>
  <si>
    <t>National Institute of Standards and Technology</t>
  </si>
  <si>
    <t>ISO</t>
  </si>
  <si>
    <t>International Organization for Standardization</t>
  </si>
  <si>
    <t>TPM</t>
  </si>
  <si>
    <t>Technical and Policy Measures</t>
  </si>
  <si>
    <t>PoC</t>
  </si>
  <si>
    <t>Proof of Concept</t>
  </si>
  <si>
    <t>QA</t>
  </si>
  <si>
    <t>Quality Assurance</t>
  </si>
  <si>
    <t>TLS</t>
  </si>
  <si>
    <t>Transport Layer Security</t>
  </si>
  <si>
    <t>KMS</t>
  </si>
  <si>
    <t>Key Management System</t>
  </si>
  <si>
    <t>Poisoning Attack</t>
  </si>
  <si>
    <t>Manipulation of training data to corrupt model behavior</t>
  </si>
  <si>
    <t>Model Evasion</t>
  </si>
  <si>
    <t>Attacks designed to bypass or fool a model</t>
  </si>
  <si>
    <t>Model Extraction</t>
  </si>
  <si>
    <t>Theft of model parameters/logic by external queries</t>
  </si>
  <si>
    <t>Membership Inference</t>
  </si>
  <si>
    <t>Determining whether a specific record was in the training data</t>
  </si>
  <si>
    <t>Model Inversion</t>
  </si>
  <si>
    <t>Reconstructing or revealing sensitive information from a model</t>
  </si>
  <si>
    <t>Prompt Injection</t>
  </si>
  <si>
    <t>Manipulating LLM prompts to override intended behavior</t>
  </si>
  <si>
    <t>Shadow AI</t>
  </si>
  <si>
    <t>Unauthorized or unapproved use of AI technologies</t>
  </si>
  <si>
    <t>SCP</t>
  </si>
  <si>
    <t>Supply Chain Provider</t>
  </si>
  <si>
    <t>CSP</t>
  </si>
  <si>
    <t>Cloud Service Provider</t>
  </si>
  <si>
    <t>TTPs</t>
  </si>
  <si>
    <t>Tactics, Techniques, and Procedures (used by threat actors)</t>
  </si>
  <si>
    <t>IR</t>
  </si>
  <si>
    <t>Incident Response</t>
  </si>
  <si>
    <t>DP</t>
  </si>
  <si>
    <t>Data Pipeline</t>
  </si>
  <si>
    <t>RPO</t>
  </si>
  <si>
    <t>Recovery Point Objective</t>
  </si>
  <si>
    <t>RTO</t>
  </si>
  <si>
    <t>Recovery Time Objective</t>
  </si>
  <si>
    <t>KPI</t>
  </si>
  <si>
    <t>Key Performance Indicator</t>
  </si>
  <si>
    <r>
      <t>Lifecycle Identification</t>
    </r>
    <r>
      <rPr>
        <sz val="11"/>
        <color theme="1"/>
        <rFont val="Aptos Narrow"/>
        <family val="2"/>
        <scheme val="minor"/>
      </rPr>
      <t xml:space="preserve">• Has the organization documented all lifecycle stages for each AI system (data → model → deployment → monitoring → retirement)?• Are data collection and data preparation processes defined, including cybersecurity risk considerations?• Are training and testing pipelines described and secured?• Are deployment and inference environments formally defined?• Has the organization defined model retraining and update procedures?• Are decommissioning procedures documented and secure?
</t>
    </r>
    <r>
      <rPr>
        <b/>
        <sz val="11"/>
        <color theme="1"/>
        <rFont val="Aptos Narrow"/>
        <family val="2"/>
        <scheme val="minor"/>
      </rPr>
      <t>AI Cybersecurity Risk Alignment</t>
    </r>
    <r>
      <rPr>
        <sz val="11"/>
        <color theme="1"/>
        <rFont val="Aptos Narrow"/>
        <family val="2"/>
        <scheme val="minor"/>
      </rPr>
      <t xml:space="preserve">• Does the lifecycle documentation address risks at each stage, such as:– Data poisoning during ingestion?– Adversarial attacks during model testing?– Tampering or unauthorized changes during deployment?– Drift or degradation during operation?– Model extraction or API abuse during inference?– Supply chain risks in training libraries or pre-trained models?
</t>
    </r>
    <r>
      <rPr>
        <b/>
        <sz val="11"/>
        <color theme="1"/>
        <rFont val="Aptos Narrow"/>
        <family val="2"/>
        <scheme val="minor"/>
      </rPr>
      <t>Process Ownership &amp; Responsibilities</t>
    </r>
    <r>
      <rPr>
        <sz val="11"/>
        <color theme="1"/>
        <rFont val="Aptos Narrow"/>
        <family val="2"/>
        <scheme val="minor"/>
      </rPr>
      <t xml:space="preserve">• Are owners assigned for each lifecycle stage (data owner, model owner, deployment owner, monitoring owner)?• Are responsibilities documented and communicated?
</t>
    </r>
    <r>
      <rPr>
        <b/>
        <sz val="11"/>
        <color theme="1"/>
        <rFont val="Aptos Narrow"/>
        <family val="2"/>
        <scheme val="minor"/>
      </rPr>
      <t>Lifecycle Integration</t>
    </r>
    <r>
      <rPr>
        <sz val="11"/>
        <color theme="1"/>
        <rFont val="Aptos Narrow"/>
        <family val="2"/>
        <scheme val="minor"/>
      </rPr>
      <t>• Are lifecycle processes linked to risk assessment, monitoring, and incident response?• Are lifecycle changes reviewed and approved?• Are secure MLOps practices applied across the lifecycle (CI/CD, versioning, integrity checks)?</t>
    </r>
  </si>
  <si>
    <t>• AI lifecycle documentation for each AI system.• Data flow diagrams and end-to-end model lifecycle diagrams.
• SOPs for data collection, preparation, and labeling processes.
• Training/testing pipeline documentation (including security reviews).
• Deployment and release processes (CI/CD pipelines, approvals).
• Monitoring procedures (drift detection, adversarial detection).
• Model update/retraining logs and procedures.
• Decommissioning policy for models and datasets.• Risk assessments linked to lifecycle stages.
• Assignment of responsibilities (RACI for each lifecycle stage).
• Version control logs showing lifecycle changes.
• Security controls applied at each lifecycle stage (checks, reviews, approvals).</t>
  </si>
  <si>
    <r>
      <t>Boundary Identification</t>
    </r>
    <r>
      <rPr>
        <sz val="11"/>
        <color theme="1"/>
        <rFont val="Aptos Narrow"/>
        <family val="2"/>
        <scheme val="minor"/>
      </rPr>
      <t xml:space="preserve">• Have the boundaries of each AI system been clearly identified (infrastructure, network, application, data, APIs)?• Are the environments hosting AI (cloud, hybrid, on-prem) clearly documented?• Are AI data sources—internal, external, vendor-provided—identified?• Are integration points defined (APIs, services, applications, interfaces)?• Are external third-party AI components or models included in boundary mapping?
</t>
    </r>
    <r>
      <rPr>
        <b/>
        <sz val="11"/>
        <color theme="1"/>
        <rFont val="Aptos Narrow"/>
        <family val="2"/>
        <scheme val="minor"/>
      </rPr>
      <t>Cybersecurity Risk Alignment</t>
    </r>
    <r>
      <rPr>
        <sz val="11"/>
        <color theme="1"/>
        <rFont val="Aptos Narrow"/>
        <family val="2"/>
        <scheme val="minor"/>
      </rPr>
      <t xml:space="preserve">• Have cybersecurity risks been identified for each boundary area:– Risks from external APIs (model extraction, brute force, probing)?– Risks from cloud or external hosting environments?– Risks from third-party model dependencies (supply chain)?– Risks from untrusted data sources (poisoning)?– Risks from integration points (prompt injection, adversarial input)?• Are controls mapped to each boundary to prevent unauthorized access, tampering, or data leakage?
</t>
    </r>
    <r>
      <rPr>
        <b/>
        <sz val="11"/>
        <color theme="1"/>
        <rFont val="Aptos Narrow"/>
        <family val="2"/>
        <scheme val="minor"/>
      </rPr>
      <t>Responsibility Assignment</t>
    </r>
    <r>
      <rPr>
        <sz val="11"/>
        <color theme="1"/>
        <rFont val="Aptos Narrow"/>
        <family val="2"/>
        <scheme val="minor"/>
      </rPr>
      <t xml:space="preserve">• Are internal responsibilities vs. third-party responsibilities clearly defined (e.g., shared responsibility with cloud providers)?• Are system owners aware of their responsibilities for boundary security?
</t>
    </r>
    <r>
      <rPr>
        <b/>
        <sz val="11"/>
        <color theme="1"/>
        <rFont val="Aptos Narrow"/>
        <family val="2"/>
        <scheme val="minor"/>
      </rPr>
      <t>Validation of Boundaries</t>
    </r>
    <r>
      <rPr>
        <sz val="11"/>
        <color theme="1"/>
        <rFont val="Aptos Narrow"/>
        <family val="2"/>
        <scheme val="minor"/>
      </rPr>
      <t xml:space="preserve">• Has the organization validated that defined boundaries match actual operational configurations?• Are boundary diagrams reviewed by security and AI governance teams?
</t>
    </r>
    <r>
      <rPr>
        <b/>
        <sz val="11"/>
        <color theme="1"/>
        <rFont val="Aptos Narrow"/>
        <family val="2"/>
        <scheme val="minor"/>
      </rPr>
      <t>Changes &amp; Review</t>
    </r>
    <r>
      <rPr>
        <sz val="11"/>
        <color theme="1"/>
        <rFont val="Aptos Narrow"/>
        <family val="2"/>
        <scheme val="minor"/>
      </rPr>
      <t>• Are boundary changes controlled, reviewed, and approved?• Are boundaries updated when integrations, models, or environments change?</t>
    </r>
  </si>
  <si>
    <t>• AI system boundary documentation (internal/external boundaries).
• System architecture diagrams (network, data flow, application flow).
• Cloud environment diagrams and shared responsibility matrices.
• List of third-party AI tools, APIs, and pre-trained models.
• Inventory of integration points and external interfaces.
• Security risk assessments mapped to boundary areas.
• Access control and network segmentation diagrams.
• Supplier or third-party service documentation (contracts/SLA).
• Logs showing enforcement of boundary controls.
• Governance approval records for boundary definitions.
• Change control records for updates to architecture or boundaries.</t>
  </si>
  <si>
    <r>
      <t>Identification of Issues</t>
    </r>
    <r>
      <rPr>
        <sz val="11"/>
        <color theme="1"/>
        <rFont val="Aptos Narrow"/>
        <family val="2"/>
        <scheme val="minor"/>
      </rPr>
      <t xml:space="preserve">• Have all internal issues affecting AI security been identified (skills, tooling, governance, data availability, infrastructure limitations)?• Have all external issues been identified (regulations, cloud dependency, vendor model risks, supply chain vulnerabilities, market conditions, emerging adversarial threats)?
</t>
    </r>
    <r>
      <rPr>
        <b/>
        <sz val="11"/>
        <color theme="1"/>
        <rFont val="Aptos Narrow"/>
        <family val="2"/>
        <scheme val="minor"/>
      </rPr>
      <t>Alignment With AI Cybersecurity Risks</t>
    </r>
    <r>
      <rPr>
        <sz val="11"/>
        <color theme="1"/>
        <rFont val="Aptos Narrow"/>
        <family val="2"/>
        <scheme val="minor"/>
      </rPr>
      <t xml:space="preserve">• Do identified issues consider AI-specific risks: poisoning, adversarial attacks, drift, model extraction, model inversion, prompt injection, API abuse, supply chain compromise?• Are these issues integrated into the AI risk assessment?
</t>
    </r>
    <r>
      <rPr>
        <b/>
        <sz val="11"/>
        <color theme="1"/>
        <rFont val="Aptos Narrow"/>
        <family val="2"/>
        <scheme val="minor"/>
      </rPr>
      <t>Regulatory &amp; Compliance Considerations</t>
    </r>
    <r>
      <rPr>
        <sz val="11"/>
        <color theme="1"/>
        <rFont val="Aptos Narrow"/>
        <family val="2"/>
        <scheme val="minor"/>
      </rPr>
      <t>• Has the organization identified relevant AI, privacy, or security regulations and assessed their impact on AI systems?</t>
    </r>
    <r>
      <rPr>
        <b/>
        <sz val="11"/>
        <color theme="1"/>
        <rFont val="Aptos Narrow"/>
        <family val="2"/>
        <scheme val="minor"/>
      </rPr>
      <t>Technology &amp; Environmental Factors</t>
    </r>
    <r>
      <rPr>
        <sz val="11"/>
        <color theme="1"/>
        <rFont val="Aptos Narrow"/>
        <family val="2"/>
        <scheme val="minor"/>
      </rPr>
      <t xml:space="preserve">• Are dependencies on external models, datasets, LLM APIs, GPUs/compute, MLOps tools identified?• Are rapid AI ecosystem changes or emerging vulnerabilities tracked?
</t>
    </r>
    <r>
      <rPr>
        <b/>
        <sz val="11"/>
        <color theme="1"/>
        <rFont val="Aptos Narrow"/>
        <family val="2"/>
        <scheme val="minor"/>
      </rPr>
      <t>Monitoring &amp; Review</t>
    </r>
    <r>
      <rPr>
        <sz val="11"/>
        <color theme="1"/>
        <rFont val="Aptos Narrow"/>
        <family val="2"/>
        <scheme val="minor"/>
      </rPr>
      <t>• Are issues reviewed periodically (quarterly/annually)?• Are changes documented, communicated, and reflected in risk assessments?</t>
    </r>
  </si>
  <si>
    <t>• Internal and external issues register.
• AI threat intelligence reports.
• Regulatory and compliance mapping documents.
• Supplier and third-party dependency assessments.
• AI cybersecurity risk assessments linked to identified issues.
• Governance meeting minutes.
• Records of periodic review of issues.
• Change logs updating identified issues.</t>
  </si>
  <si>
    <r>
      <t>Identification of Interested Parties</t>
    </r>
    <r>
      <rPr>
        <sz val="11"/>
        <color theme="1"/>
        <rFont val="Aptos Narrow"/>
        <family val="2"/>
        <scheme val="minor"/>
      </rPr>
      <t xml:space="preserve">• Has the organization identified all stakeholders involved in or affected by AI systems (regulators, users, customers, IT, security, data owners, suppliers, auditors)?• Are internal and external parties both included?
</t>
    </r>
    <r>
      <rPr>
        <b/>
        <sz val="11"/>
        <color theme="1"/>
        <rFont val="Aptos Narrow"/>
        <family val="2"/>
        <scheme val="minor"/>
      </rPr>
      <t>Requirements Identification</t>
    </r>
    <r>
      <rPr>
        <sz val="11"/>
        <color theme="1"/>
        <rFont val="Aptos Narrow"/>
        <family val="2"/>
        <scheme val="minor"/>
      </rPr>
      <t xml:space="preserve">• Have stakeholder requirements regarding AI cybersecurity been documented?• Do requirements include expectations about: confidentiality, integrity, availability, robustness, explainability, safety, compliance, and acceptable risk levels?• Are AI-specific cybersecurity concerns captured for each stakeholder (e.g., model misuse, data leakage, prompt injection, adversarial threats)?
</t>
    </r>
    <r>
      <rPr>
        <b/>
        <sz val="11"/>
        <color theme="1"/>
        <rFont val="Aptos Narrow"/>
        <family val="2"/>
        <scheme val="minor"/>
      </rPr>
      <t>Integration With AI Risk Management</t>
    </r>
    <r>
      <rPr>
        <sz val="11"/>
        <color theme="1"/>
        <rFont val="Aptos Narrow"/>
        <family val="2"/>
        <scheme val="minor"/>
      </rPr>
      <t xml:space="preserve">• Are stakeholder requirements integrated into AI risk assessment, control selection, and monitoring activities?• Do changes in stakeholder needs trigger updates to risk assessments and policies?
</t>
    </r>
    <r>
      <rPr>
        <b/>
        <sz val="11"/>
        <color theme="1"/>
        <rFont val="Aptos Narrow"/>
        <family val="2"/>
        <scheme val="minor"/>
      </rPr>
      <t>Review &amp; Maintenance</t>
    </r>
    <r>
      <rPr>
        <sz val="11"/>
        <color theme="1"/>
        <rFont val="Aptos Narrow"/>
        <family val="2"/>
        <scheme val="minor"/>
      </rPr>
      <t xml:space="preserve">• Are interested parties and their requirements reviewed periodically (e.g., annually)?• Is there evidence of updates when new regulations, contracts, or system changes occur?
</t>
    </r>
    <r>
      <rPr>
        <b/>
        <sz val="11"/>
        <color theme="1"/>
        <rFont val="Aptos Narrow"/>
        <family val="2"/>
        <scheme val="minor"/>
      </rPr>
      <t>Communication</t>
    </r>
    <r>
      <rPr>
        <sz val="11"/>
        <color theme="1"/>
        <rFont val="Aptos Narrow"/>
        <family val="2"/>
        <scheme val="minor"/>
      </rPr>
      <t>• Are stakeholder requirements communicated to relevant teams responsible for AI development, deployment, and monitoring?</t>
    </r>
  </si>
  <si>
    <t>• Interested party register.
• Stakeholder requirement mapping (security, privacy, operational, regulatory).
• Customer contracts or security addenda referencing AI expectations.
• Regulatory requirement summaries (AI Act, NIST AI RMF, privacy laws, sector rules).
• Supplier/third-party AI service agreements.
• Risk assessment showing stakeholder requirement integration.
• Governance meeting minutes documenting review of stakeholder requirements.
• Communication logs or training materials related to stakeholder expectations.</t>
  </si>
  <si>
    <r>
      <t>Definition of Objectives</t>
    </r>
    <r>
      <rPr>
        <sz val="11"/>
        <color theme="1"/>
        <rFont val="Aptos Narrow"/>
        <family val="2"/>
        <scheme val="minor"/>
      </rPr>
      <t xml:space="preserve">• Have AI security objectives been formally defined and documented?• Do objectives explicitly address protection of AI assets (models, data, pipelines, APIs)?
</t>
    </r>
    <r>
      <rPr>
        <b/>
        <sz val="11"/>
        <color theme="1"/>
        <rFont val="Aptos Narrow"/>
        <family val="2"/>
        <scheme val="minor"/>
      </rPr>
      <t>Coverage of Security Dimensions</t>
    </r>
    <r>
      <rPr>
        <sz val="11"/>
        <color theme="1"/>
        <rFont val="Aptos Narrow"/>
        <family val="2"/>
        <scheme val="minor"/>
      </rPr>
      <t xml:space="preserve">• Do objectives cover confidentiality, integrity, availability, robustness, and safe operation of AI systems?
</t>
    </r>
    <r>
      <rPr>
        <b/>
        <sz val="11"/>
        <color theme="1"/>
        <rFont val="Aptos Narrow"/>
        <family val="2"/>
        <scheme val="minor"/>
      </rPr>
      <t>AI-Specific Threat Inclusion</t>
    </r>
    <r>
      <rPr>
        <sz val="11"/>
        <color theme="1"/>
        <rFont val="Aptos Narrow"/>
        <family val="2"/>
        <scheme val="minor"/>
      </rPr>
      <t xml:space="preserve">• Do objectives include protection against AI-specific risks such as data poisoning, adversarial attacks, prompt injection, model extraction, drift, model inversion, and supply chain risks?
</t>
    </r>
    <r>
      <rPr>
        <b/>
        <sz val="11"/>
        <color theme="1"/>
        <rFont val="Aptos Narrow"/>
        <family val="2"/>
        <scheme val="minor"/>
      </rPr>
      <t>Alignment With Risk Assessment</t>
    </r>
    <r>
      <rPr>
        <sz val="11"/>
        <color theme="1"/>
        <rFont val="Aptos Narrow"/>
        <family val="2"/>
        <scheme val="minor"/>
      </rPr>
      <t xml:space="preserve">• Are AI security objectives directly linked to identified risks in the AI risk assessment?
</t>
    </r>
    <r>
      <rPr>
        <b/>
        <sz val="11"/>
        <color theme="1"/>
        <rFont val="Aptos Narrow"/>
        <family val="2"/>
        <scheme val="minor"/>
      </rPr>
      <t>Measurability &amp; Monitoring</t>
    </r>
    <r>
      <rPr>
        <sz val="11"/>
        <color theme="1"/>
        <rFont val="Aptos Narrow"/>
        <family val="2"/>
        <scheme val="minor"/>
      </rPr>
      <t xml:space="preserve">• Are objectives measurable and supported by KPIs or performance indicators?• Are progress and achievement of objectives monitored regularly?
</t>
    </r>
    <r>
      <rPr>
        <b/>
        <sz val="11"/>
        <color theme="1"/>
        <rFont val="Aptos Narrow"/>
        <family val="2"/>
        <scheme val="minor"/>
      </rPr>
      <t>Approval &amp; Review</t>
    </r>
    <r>
      <rPr>
        <sz val="11"/>
        <color theme="1"/>
        <rFont val="Aptos Narrow"/>
        <family val="2"/>
        <scheme val="minor"/>
      </rPr>
      <t>• Are objectives approved by senior leadership?• Are they reviewed and updated periodically?</t>
    </r>
  </si>
  <si>
    <t>• Documented AI security objectives.
• Mapping between objectives and identified AI risks.
• KPIs or metrics measuring AI security performance.
• Minutes or approvals from management/governance bodies.
• Dashboards or monitoring reports showing tracking of objectives.
• Revision history of objectives.
• Evidence showing objectives are communicated to relevant teams.</t>
  </si>
  <si>
    <t>• Documented CIA requirements for each AI system.
• Mapping of CIA requirements to asset sensitivity and risk levels.
• AI cybersecurity risk assessment supporting CIA definitions.
• Access control requirements and IAM documentation.
• Integrity check processes (hashing, versioning, signatures).
• Availability requirements (SLAs, redundancy, failover plans).
• Governance approvals of CIA requirements.
• Review and update records for CIA requirements.</t>
  </si>
  <si>
    <r>
      <t>Definition of CIA Requirements</t>
    </r>
    <r>
      <rPr>
        <sz val="11"/>
        <color theme="1"/>
        <rFont val="Aptos Narrow"/>
        <family val="2"/>
        <scheme val="minor"/>
      </rPr>
      <t xml:space="preserve">• Have confidentiality, integrity, and availability requirements been defined for each AI system (models, datasets, pipelines, APIs)?• Are CIA requirements based on data sensitivity, model criticality, and business impact?
</t>
    </r>
    <r>
      <rPr>
        <b/>
        <sz val="11"/>
        <color theme="1"/>
        <rFont val="Aptos Narrow"/>
        <family val="2"/>
        <scheme val="minor"/>
      </rPr>
      <t>Confidentiality Considerations</t>
    </r>
    <r>
      <rPr>
        <sz val="11"/>
        <color theme="1"/>
        <rFont val="Aptos Narrow"/>
        <family val="2"/>
        <scheme val="minor"/>
      </rPr>
      <t xml:space="preserve">• Do requirements address prevention of data leakage, model inversion, membership inference, prompt injection, and unauthorized access to models or datasets?
</t>
    </r>
    <r>
      <rPr>
        <b/>
        <sz val="11"/>
        <color theme="1"/>
        <rFont val="Aptos Narrow"/>
        <family val="2"/>
        <scheme val="minor"/>
      </rPr>
      <t>Integrity Considerations</t>
    </r>
    <r>
      <rPr>
        <sz val="11"/>
        <color theme="1"/>
        <rFont val="Aptos Narrow"/>
        <family val="2"/>
        <scheme val="minor"/>
      </rPr>
      <t xml:space="preserve">• Are requirements defined to protect models and data from poisoning, tampering, adversarial manipulation, unauthorized changes, or pipeline compromise?
</t>
    </r>
    <r>
      <rPr>
        <b/>
        <sz val="11"/>
        <color theme="1"/>
        <rFont val="Aptos Narrow"/>
        <family val="2"/>
        <scheme val="minor"/>
      </rPr>
      <t>Availability Considerations</t>
    </r>
    <r>
      <rPr>
        <sz val="11"/>
        <color theme="1"/>
        <rFont val="Aptos Narrow"/>
        <family val="2"/>
        <scheme val="minor"/>
      </rPr>
      <t xml:space="preserve">• Do requirements ensure availability of AI inference, training pipelines, and model hosting environments?• Are risks such as inference DoS attacks, compute resource exhaustion, and cloud dependency addressed?
</t>
    </r>
    <r>
      <rPr>
        <b/>
        <sz val="11"/>
        <color theme="1"/>
        <rFont val="Aptos Narrow"/>
        <family val="2"/>
        <scheme val="minor"/>
      </rPr>
      <t>Alignment With Risk Assessment</t>
    </r>
    <r>
      <rPr>
        <sz val="11"/>
        <color theme="1"/>
        <rFont val="Aptos Narrow"/>
        <family val="2"/>
        <scheme val="minor"/>
      </rPr>
      <t xml:space="preserve">• Are CIA requirements tied directly to AI risk assessment results?
</t>
    </r>
    <r>
      <rPr>
        <b/>
        <sz val="11"/>
        <color theme="1"/>
        <rFont val="Aptos Narrow"/>
        <family val="2"/>
        <scheme val="minor"/>
      </rPr>
      <t>Review &amp; Approval</t>
    </r>
    <r>
      <rPr>
        <sz val="11"/>
        <color theme="1"/>
        <rFont val="Aptos Narrow"/>
        <family val="2"/>
        <scheme val="minor"/>
      </rPr>
      <t>• Are requirements approved by AI governance or senior management?• Are CIA requirements reviewed periodically and updated when system risk changes?</t>
    </r>
  </si>
  <si>
    <t>Note: The controls in this AI Cyber Security Framework were developed by taking into consideration the key requirements, principles, and best practices from globally recognized standards and guidelines, including ISO/IEC 42001 for AI management systems, ISO/IEC 27001 for information security, the NIST AI Risk Management Framework, NIST SP 800-53 Rev. 5 security and privacy controls, as well as the OWASP ML Security Top 10, OWASP LLM Top 10, and OWASP API Security Top 10. Elements of the EU AI Act were also considered to ensure alignment with emerging regulatory expectations. These sources collectively informed the structure, intent, and technical depth of the controls presented in this framework.</t>
  </si>
  <si>
    <t>Requirement</t>
  </si>
  <si>
    <t>ISO/IEC 42001:2023 (Correct Mapping + Explanation)</t>
  </si>
  <si>
    <t>ISO/IEC 27001:2022 (Correct Mapping + Explanation)</t>
  </si>
  <si>
    <t>NIST AI RMF (Correct Mapping + Explanation)</t>
  </si>
  <si>
    <t>NIST SP 800-53 Rev 5 (Correct Mapping + Explanation)</t>
  </si>
  <si>
    <t>Identify all AI models, datasets, APIs, pipelines, components; classify AI systems by cybersecurity risk (poisoning, adversarial manipulation, model extraction, drift, prompt injection, supply chain risks). Define boundaries, dependencies, and owners.</t>
  </si>
  <si>
    <r>
      <t>4.1 – Context:</t>
    </r>
    <r>
      <rPr>
        <sz val="11"/>
        <color theme="1"/>
        <rFont val="Aptos Narrow"/>
        <family val="2"/>
        <scheme val="minor"/>
      </rPr>
      <t xml:space="preserve"> Requires defining scope, system components, and relationships. </t>
    </r>
    <r>
      <rPr>
        <b/>
        <sz val="11"/>
        <color theme="1"/>
        <rFont val="Aptos Narrow"/>
        <family val="2"/>
        <scheme val="minor"/>
      </rPr>
      <t>4.2 – Stakeholder needs:</t>
    </r>
    <r>
      <rPr>
        <sz val="11"/>
        <color theme="1"/>
        <rFont val="Aptos Narrow"/>
        <family val="2"/>
        <scheme val="minor"/>
      </rPr>
      <t xml:space="preserve"> Includes expectations for security, integrity, and data usage. </t>
    </r>
    <r>
      <rPr>
        <b/>
        <sz val="11"/>
        <color theme="1"/>
        <rFont val="Aptos Narrow"/>
        <family val="2"/>
        <scheme val="minor"/>
      </rPr>
      <t>6.1 – Risk actions:</t>
    </r>
    <r>
      <rPr>
        <sz val="11"/>
        <color theme="1"/>
        <rFont val="Aptos Narrow"/>
        <family val="2"/>
        <scheme val="minor"/>
      </rPr>
      <t xml:space="preserve"> Requires identifying AI-specific risks.</t>
    </r>
  </si>
  <si>
    <r>
      <t>4.1 – Organization context:</t>
    </r>
    <r>
      <rPr>
        <sz val="11"/>
        <color theme="1"/>
        <rFont val="Aptos Narrow"/>
        <family val="2"/>
        <scheme val="minor"/>
      </rPr>
      <t xml:space="preserve"> Requires identifying internal/external factors defining system scope. </t>
    </r>
    <r>
      <rPr>
        <b/>
        <sz val="11"/>
        <color theme="1"/>
        <rFont val="Aptos Narrow"/>
        <family val="2"/>
        <scheme val="minor"/>
      </rPr>
      <t>4.2 – Interested parties:</t>
    </r>
    <r>
      <rPr>
        <sz val="11"/>
        <color theme="1"/>
        <rFont val="Aptos Narrow"/>
        <family val="2"/>
        <scheme val="minor"/>
      </rPr>
      <t xml:space="preserve"> Requires understanding stakeholder expectations related to AI system security.</t>
    </r>
  </si>
  <si>
    <r>
      <t>MAP 1.1 – Context:</t>
    </r>
    <r>
      <rPr>
        <sz val="11"/>
        <color theme="1"/>
        <rFont val="Aptos Narrow"/>
        <family val="2"/>
        <scheme val="minor"/>
      </rPr>
      <t xml:space="preserve"> Requires inventory of AI systems and components. </t>
    </r>
    <r>
      <rPr>
        <b/>
        <sz val="11"/>
        <color theme="1"/>
        <rFont val="Aptos Narrow"/>
        <family val="2"/>
        <scheme val="minor"/>
      </rPr>
      <t>MAP 1.2 – Inventory:</t>
    </r>
    <r>
      <rPr>
        <sz val="11"/>
        <color theme="1"/>
        <rFont val="Aptos Narrow"/>
        <family val="2"/>
        <scheme val="minor"/>
      </rPr>
      <t xml:space="preserve"> Direct alignment with identifying AI models, datasets, pipelines. </t>
    </r>
    <r>
      <rPr>
        <b/>
        <sz val="11"/>
        <color theme="1"/>
        <rFont val="Aptos Narrow"/>
        <family val="2"/>
        <scheme val="minor"/>
      </rPr>
      <t>MEASURE 1.1 – Risk ID:</t>
    </r>
    <r>
      <rPr>
        <sz val="11"/>
        <color theme="1"/>
        <rFont val="Aptos Narrow"/>
        <family val="2"/>
        <scheme val="minor"/>
      </rPr>
      <t xml:space="preserve"> Includes adversarial, data, and model risks.</t>
    </r>
  </si>
  <si>
    <r>
      <t>RA-3 – Risk assessment:</t>
    </r>
    <r>
      <rPr>
        <sz val="11"/>
        <color theme="1"/>
        <rFont val="Aptos Narrow"/>
        <family val="2"/>
        <scheme val="minor"/>
      </rPr>
      <t xml:space="preserve"> Requires identifying threats including adversarial AI risk. </t>
    </r>
    <r>
      <rPr>
        <b/>
        <sz val="11"/>
        <color theme="1"/>
        <rFont val="Aptos Narrow"/>
        <family val="2"/>
        <scheme val="minor"/>
      </rPr>
      <t>PM-5 – System categorization:</t>
    </r>
    <r>
      <rPr>
        <sz val="11"/>
        <color theme="1"/>
        <rFont val="Aptos Narrow"/>
        <family val="2"/>
        <scheme val="minor"/>
      </rPr>
      <t xml:space="preserve"> Requires identifying system components and boundaries. </t>
    </r>
    <r>
      <rPr>
        <b/>
        <sz val="11"/>
        <color theme="1"/>
        <rFont val="Aptos Narrow"/>
        <family val="2"/>
        <scheme val="minor"/>
      </rPr>
      <t>SR-3 – Supply chain risk:</t>
    </r>
    <r>
      <rPr>
        <sz val="11"/>
        <color theme="1"/>
        <rFont val="Aptos Narrow"/>
        <family val="2"/>
        <scheme val="minor"/>
      </rPr>
      <t xml:space="preserve"> Aligns with dependency assessment.</t>
    </r>
  </si>
  <si>
    <t>Define lifecycle stages for AI systems (data collection → preparation → development → training → testing → deployment → inference → monitoring → maintenance → decommissioning). Include risks such as poisoning, adversarial testing, drift, pipeline compromise. Assign responsibilities.</t>
  </si>
  <si>
    <r>
      <t>4.1 – Context:</t>
    </r>
    <r>
      <rPr>
        <sz val="11"/>
        <color theme="1"/>
        <rFont val="Aptos Narrow"/>
        <family val="2"/>
        <scheme val="minor"/>
      </rPr>
      <t xml:space="preserve"> Requires understanding processes and lifecycle. </t>
    </r>
    <r>
      <rPr>
        <b/>
        <sz val="11"/>
        <color theme="1"/>
        <rFont val="Aptos Narrow"/>
        <family val="2"/>
        <scheme val="minor"/>
      </rPr>
      <t>6.1 – Risk actions:</t>
    </r>
    <r>
      <rPr>
        <sz val="11"/>
        <color theme="1"/>
        <rFont val="Aptos Narrow"/>
        <family val="2"/>
        <scheme val="minor"/>
      </rPr>
      <t xml:space="preserve"> Requires addressing risks at each lifecycle stage. </t>
    </r>
    <r>
      <rPr>
        <b/>
        <sz val="11"/>
        <color theme="1"/>
        <rFont val="Aptos Narrow"/>
        <family val="2"/>
        <scheme val="minor"/>
      </rPr>
      <t>8.1 – Operational control:</t>
    </r>
    <r>
      <rPr>
        <sz val="11"/>
        <color theme="1"/>
        <rFont val="Aptos Narrow"/>
        <family val="2"/>
        <scheme val="minor"/>
      </rPr>
      <t xml:space="preserve"> Requires managing lifecycle transitions and controls.</t>
    </r>
  </si>
  <si>
    <r>
      <t>4.1 – Context:</t>
    </r>
    <r>
      <rPr>
        <sz val="11"/>
        <color theme="1"/>
        <rFont val="Aptos Narrow"/>
        <family val="2"/>
        <scheme val="minor"/>
      </rPr>
      <t xml:space="preserve"> Requires identifying lifecycle-related internal/external issues. </t>
    </r>
    <r>
      <rPr>
        <b/>
        <sz val="11"/>
        <color theme="1"/>
        <rFont val="Aptos Narrow"/>
        <family val="2"/>
        <scheme val="minor"/>
      </rPr>
      <t>4.2 – Interested parties:</t>
    </r>
    <r>
      <rPr>
        <sz val="11"/>
        <color theme="1"/>
        <rFont val="Aptos Narrow"/>
        <family val="2"/>
        <scheme val="minor"/>
      </rPr>
      <t xml:space="preserve"> Requires understanding lifecycle-relevant expectations (regulators, customers).</t>
    </r>
  </si>
  <si>
    <r>
      <t>MAP 1.3 – System characteristics:</t>
    </r>
    <r>
      <rPr>
        <sz val="11"/>
        <color theme="1"/>
        <rFont val="Aptos Narrow"/>
        <family val="2"/>
        <scheme val="minor"/>
      </rPr>
      <t xml:space="preserve"> Requires lifecycle documentation. </t>
    </r>
    <r>
      <rPr>
        <b/>
        <sz val="11"/>
        <color theme="1"/>
        <rFont val="Aptos Narrow"/>
        <family val="2"/>
        <scheme val="minor"/>
      </rPr>
      <t>MEASURE 1.1 – Risk ID:</t>
    </r>
    <r>
      <rPr>
        <sz val="11"/>
        <color theme="1"/>
        <rFont val="Aptos Narrow"/>
        <family val="2"/>
        <scheme val="minor"/>
      </rPr>
      <t xml:space="preserve"> Requires risk identification at each lifecycle stage. </t>
    </r>
    <r>
      <rPr>
        <b/>
        <sz val="11"/>
        <color theme="1"/>
        <rFont val="Aptos Narrow"/>
        <family val="2"/>
        <scheme val="minor"/>
      </rPr>
      <t>MANAGE 3.1 – Risk treatment:</t>
    </r>
    <r>
      <rPr>
        <sz val="11"/>
        <color theme="1"/>
        <rFont val="Aptos Narrow"/>
        <family val="2"/>
        <scheme val="minor"/>
      </rPr>
      <t xml:space="preserve"> Requires applying controls across lifecycle.</t>
    </r>
  </si>
  <si>
    <r>
      <t>SA-3 – System development lifecycle:</t>
    </r>
    <r>
      <rPr>
        <sz val="11"/>
        <color theme="1"/>
        <rFont val="Aptos Narrow"/>
        <family val="2"/>
        <scheme val="minor"/>
      </rPr>
      <t xml:space="preserve"> Aligns with structured lifecycle definition. </t>
    </r>
    <r>
      <rPr>
        <b/>
        <sz val="11"/>
        <color theme="1"/>
        <rFont val="Aptos Narrow"/>
        <family val="2"/>
        <scheme val="minor"/>
      </rPr>
      <t>RA-3 – Risk assessment:</t>
    </r>
    <r>
      <rPr>
        <sz val="11"/>
        <color theme="1"/>
        <rFont val="Aptos Narrow"/>
        <family val="2"/>
        <scheme val="minor"/>
      </rPr>
      <t xml:space="preserve"> Requires assessing lifecycle-specific risks. </t>
    </r>
    <r>
      <rPr>
        <b/>
        <sz val="11"/>
        <color theme="1"/>
        <rFont val="Aptos Narrow"/>
        <family val="2"/>
        <scheme val="minor"/>
      </rPr>
      <t>SI-7 – Software integrity:</t>
    </r>
    <r>
      <rPr>
        <sz val="11"/>
        <color theme="1"/>
        <rFont val="Aptos Narrow"/>
        <family val="2"/>
        <scheme val="minor"/>
      </rPr>
      <t xml:space="preserve"> Aligns to model integrity during lifecycle.</t>
    </r>
  </si>
  <si>
    <t>Define organizational, system, and technical boundaries (internal vs external responsibilities, cloud/on-prem/hybrid, third-party AI, data sources, integration points, infrastructure components). Identify risks arising from unclear boundaries (API exposure, model extraction, data leakage, supply chain attacks).</t>
  </si>
  <si>
    <r>
      <t>4.1 – Context:</t>
    </r>
    <r>
      <rPr>
        <sz val="11"/>
        <color theme="1"/>
        <rFont val="Aptos Narrow"/>
        <family val="2"/>
        <scheme val="minor"/>
      </rPr>
      <t xml:space="preserve"> Requires defining organizational and system boundaries. </t>
    </r>
    <r>
      <rPr>
        <b/>
        <sz val="11"/>
        <color theme="1"/>
        <rFont val="Aptos Narrow"/>
        <family val="2"/>
        <scheme val="minor"/>
      </rPr>
      <t>4.2 – Stakeholder needs:</t>
    </r>
    <r>
      <rPr>
        <sz val="11"/>
        <color theme="1"/>
        <rFont val="Aptos Narrow"/>
        <family val="2"/>
        <scheme val="minor"/>
      </rPr>
      <t xml:space="preserve"> Includes obligations related to boundary protection and responsibilities. </t>
    </r>
    <r>
      <rPr>
        <b/>
        <sz val="11"/>
        <color theme="1"/>
        <rFont val="Aptos Narrow"/>
        <family val="2"/>
        <scheme val="minor"/>
      </rPr>
      <t>6.1 – Risk actions:</t>
    </r>
    <r>
      <rPr>
        <sz val="11"/>
        <color theme="1"/>
        <rFont val="Aptos Narrow"/>
        <family val="2"/>
        <scheme val="minor"/>
      </rPr>
      <t xml:space="preserve"> Requires assessing boundary-related AI risks.</t>
    </r>
  </si>
  <si>
    <r>
      <t>4.1 – Context:</t>
    </r>
    <r>
      <rPr>
        <sz val="11"/>
        <color theme="1"/>
        <rFont val="Aptos Narrow"/>
        <family val="2"/>
        <scheme val="minor"/>
      </rPr>
      <t xml:space="preserve"> Requires mapping internal/external issues shaping boundaries. </t>
    </r>
    <r>
      <rPr>
        <b/>
        <sz val="11"/>
        <color theme="1"/>
        <rFont val="Aptos Narrow"/>
        <family val="2"/>
        <scheme val="minor"/>
      </rPr>
      <t>4.2 – Interested parties:</t>
    </r>
    <r>
      <rPr>
        <sz val="11"/>
        <color theme="1"/>
        <rFont val="Aptos Narrow"/>
        <family val="2"/>
        <scheme val="minor"/>
      </rPr>
      <t xml:space="preserve"> Requires identifying responsibilities and obligations across boundaries.</t>
    </r>
  </si>
  <si>
    <r>
      <t>MAP 1.1 – Context:</t>
    </r>
    <r>
      <rPr>
        <sz val="11"/>
        <color theme="1"/>
        <rFont val="Aptos Narrow"/>
        <family val="2"/>
        <scheme val="minor"/>
      </rPr>
      <t xml:space="preserve"> Requires identifying boundaries, dependencies, external parties. </t>
    </r>
    <r>
      <rPr>
        <b/>
        <sz val="11"/>
        <color theme="1"/>
        <rFont val="Aptos Narrow"/>
        <family val="2"/>
        <scheme val="minor"/>
      </rPr>
      <t>MAP 1.3 – System characteristics:</t>
    </r>
    <r>
      <rPr>
        <sz val="11"/>
        <color theme="1"/>
        <rFont val="Aptos Narrow"/>
        <family val="2"/>
        <scheme val="minor"/>
      </rPr>
      <t xml:space="preserve"> Requires documenting architecture and interfaces. </t>
    </r>
    <r>
      <rPr>
        <b/>
        <sz val="11"/>
        <color theme="1"/>
        <rFont val="Aptos Narrow"/>
        <family val="2"/>
        <scheme val="minor"/>
      </rPr>
      <t>MEASURE 1.1 – Risk ID:</t>
    </r>
    <r>
      <rPr>
        <sz val="11"/>
        <color theme="1"/>
        <rFont val="Aptos Narrow"/>
        <family val="2"/>
        <scheme val="minor"/>
      </rPr>
      <t xml:space="preserve"> Identifies risks from boundary weaknesses.</t>
    </r>
  </si>
  <si>
    <r>
      <t>PM-5 – System categorization:</t>
    </r>
    <r>
      <rPr>
        <sz val="11"/>
        <color theme="1"/>
        <rFont val="Aptos Narrow"/>
        <family val="2"/>
        <scheme val="minor"/>
      </rPr>
      <t xml:space="preserve"> Requires defining system boundaries. </t>
    </r>
    <r>
      <rPr>
        <b/>
        <sz val="11"/>
        <color theme="1"/>
        <rFont val="Aptos Narrow"/>
        <family val="2"/>
        <scheme val="minor"/>
      </rPr>
      <t>SA-8 – Interface documentation:</t>
    </r>
    <r>
      <rPr>
        <sz val="11"/>
        <color theme="1"/>
        <rFont val="Aptos Narrow"/>
        <family val="2"/>
        <scheme val="minor"/>
      </rPr>
      <t xml:space="preserve"> Matches boundary definition. </t>
    </r>
    <r>
      <rPr>
        <b/>
        <sz val="11"/>
        <color theme="1"/>
        <rFont val="Aptos Narrow"/>
        <family val="2"/>
        <scheme val="minor"/>
      </rPr>
      <t>SR-3 – Supply chain risk:</t>
    </r>
    <r>
      <rPr>
        <sz val="11"/>
        <color theme="1"/>
        <rFont val="Aptos Narrow"/>
        <family val="2"/>
        <scheme val="minor"/>
      </rPr>
      <t xml:space="preserve"> Covers third-party AI and external infrastructure.</t>
    </r>
  </si>
  <si>
    <t>Identify internal/external issues impacting AI security: regulatory obligations, AI threat landscape, skills/resource limitations, supplier/technology dependencies, data quality challenges, environmental factors. Review periodically and integrate into AI cybersecurity risk assessment.</t>
  </si>
  <si>
    <r>
      <t>4.1 – Context:</t>
    </r>
    <r>
      <rPr>
        <sz val="11"/>
        <color theme="1"/>
        <rFont val="Aptos Narrow"/>
        <family val="2"/>
        <scheme val="minor"/>
      </rPr>
      <t xml:space="preserve"> Requires identification of internal/external issues affecting AI systems. </t>
    </r>
    <r>
      <rPr>
        <b/>
        <sz val="11"/>
        <color theme="1"/>
        <rFont val="Aptos Narrow"/>
        <family val="2"/>
        <scheme val="minor"/>
      </rPr>
      <t>4.2 – Stakeholder needs:</t>
    </r>
    <r>
      <rPr>
        <sz val="11"/>
        <color theme="1"/>
        <rFont val="Aptos Narrow"/>
        <family val="2"/>
        <scheme val="minor"/>
      </rPr>
      <t xml:space="preserve"> Requires identifying regulatory, technological, and supplier requirements. </t>
    </r>
    <r>
      <rPr>
        <b/>
        <sz val="11"/>
        <color theme="1"/>
        <rFont val="Aptos Narrow"/>
        <family val="2"/>
        <scheme val="minor"/>
      </rPr>
      <t>6.1 – Risk actions:</t>
    </r>
    <r>
      <rPr>
        <sz val="11"/>
        <color theme="1"/>
        <rFont val="Aptos Narrow"/>
        <family val="2"/>
        <scheme val="minor"/>
      </rPr>
      <t xml:space="preserve"> Requires incorporating identified issues into risk assessments.</t>
    </r>
  </si>
  <si>
    <r>
      <t>4.1 – Understanding the organization:</t>
    </r>
    <r>
      <rPr>
        <sz val="11"/>
        <color theme="1"/>
        <rFont val="Aptos Narrow"/>
        <family val="2"/>
        <scheme val="minor"/>
      </rPr>
      <t xml:space="preserve"> Direct alignment with identifying internal/external issues. </t>
    </r>
    <r>
      <rPr>
        <b/>
        <sz val="11"/>
        <color theme="1"/>
        <rFont val="Aptos Narrow"/>
        <family val="2"/>
        <scheme val="minor"/>
      </rPr>
      <t>4.2 – Interested parties:</t>
    </r>
    <r>
      <rPr>
        <sz val="11"/>
        <color theme="1"/>
        <rFont val="Aptos Narrow"/>
        <family val="2"/>
        <scheme val="minor"/>
      </rPr>
      <t xml:space="preserve"> Requires determining regulatory and dependency-driven requirements affecting security.</t>
    </r>
  </si>
  <si>
    <r>
      <t>GOVERN 1.1 – Governance context:</t>
    </r>
    <r>
      <rPr>
        <sz val="11"/>
        <color theme="1"/>
        <rFont val="Aptos Narrow"/>
        <family val="2"/>
        <scheme val="minor"/>
      </rPr>
      <t xml:space="preserve"> Requires identifying internal/external factors affecting AI risks. </t>
    </r>
    <r>
      <rPr>
        <b/>
        <sz val="11"/>
        <color theme="1"/>
        <rFont val="Aptos Narrow"/>
        <family val="2"/>
        <scheme val="minor"/>
      </rPr>
      <t>MAP 1.1 – Context ID:</t>
    </r>
    <r>
      <rPr>
        <sz val="11"/>
        <color theme="1"/>
        <rFont val="Aptos Narrow"/>
        <family val="2"/>
        <scheme val="minor"/>
      </rPr>
      <t xml:space="preserve"> Requires evaluating environment, threats, constraints. </t>
    </r>
    <r>
      <rPr>
        <b/>
        <sz val="11"/>
        <color theme="1"/>
        <rFont val="Aptos Narrow"/>
        <family val="2"/>
        <scheme val="minor"/>
      </rPr>
      <t>MEASURE 1.1 – Risk ID:</t>
    </r>
    <r>
      <rPr>
        <sz val="11"/>
        <color theme="1"/>
        <rFont val="Aptos Narrow"/>
        <family val="2"/>
        <scheme val="minor"/>
      </rPr>
      <t xml:space="preserve"> Requires including these issues in risk assessment.</t>
    </r>
  </si>
  <si>
    <r>
      <t>RA-3 – Risk assessment:</t>
    </r>
    <r>
      <rPr>
        <sz val="11"/>
        <color theme="1"/>
        <rFont val="Aptos Narrow"/>
        <family val="2"/>
        <scheme val="minor"/>
      </rPr>
      <t xml:space="preserve"> Requires inclusion of internal/external issue analysis. </t>
    </r>
    <r>
      <rPr>
        <b/>
        <sz val="11"/>
        <color theme="1"/>
        <rFont val="Aptos Narrow"/>
        <family val="2"/>
        <scheme val="minor"/>
      </rPr>
      <t>PM-11 – Business context:</t>
    </r>
    <r>
      <rPr>
        <sz val="11"/>
        <color theme="1"/>
        <rFont val="Aptos Narrow"/>
        <family val="2"/>
        <scheme val="minor"/>
      </rPr>
      <t xml:space="preserve"> Requires identifying operational/environmental constraints. </t>
    </r>
    <r>
      <rPr>
        <b/>
        <sz val="11"/>
        <color theme="1"/>
        <rFont val="Aptos Narrow"/>
        <family val="2"/>
        <scheme val="minor"/>
      </rPr>
      <t>SR-2/3 – Supply chain:</t>
    </r>
    <r>
      <rPr>
        <sz val="11"/>
        <color theme="1"/>
        <rFont val="Aptos Narrow"/>
        <family val="2"/>
        <scheme val="minor"/>
      </rPr>
      <t xml:space="preserve"> Covers external technology dependencies.</t>
    </r>
  </si>
  <si>
    <t>The organization shall identify all relevant internal and external interested parties related to AI systems and determine their cybersecurity, privacy, safety, operational, and compliance requirements. Requirements must be documented, reviewed periodically, and integrated into AI security governance and risk management processes. Interested parties include regulators, customers, users, business owners, IT/security teams, suppliers, and third-party AI service providers.</t>
  </si>
  <si>
    <r>
      <t>4.2 – Needs and expectations of stakeholders:</t>
    </r>
    <r>
      <rPr>
        <sz val="11"/>
        <color theme="1"/>
        <rFont val="Aptos Narrow"/>
        <family val="2"/>
        <scheme val="minor"/>
      </rPr>
      <t xml:space="preserve"> Requires identifying parties and their security, safety, privacy, and compliance expectations. </t>
    </r>
    <r>
      <rPr>
        <b/>
        <sz val="11"/>
        <color theme="1"/>
        <rFont val="Aptos Narrow"/>
        <family val="2"/>
        <scheme val="minor"/>
      </rPr>
      <t>4.1 – Organizational context:</t>
    </r>
    <r>
      <rPr>
        <sz val="11"/>
        <color theme="1"/>
        <rFont val="Aptos Narrow"/>
        <family val="2"/>
        <scheme val="minor"/>
      </rPr>
      <t xml:space="preserve"> Requires understanding internal/external relationships influencing AI systems. </t>
    </r>
    <r>
      <rPr>
        <b/>
        <sz val="11"/>
        <color theme="1"/>
        <rFont val="Aptos Narrow"/>
        <family val="2"/>
        <scheme val="minor"/>
      </rPr>
      <t>6.1 – Actions to address risks:</t>
    </r>
    <r>
      <rPr>
        <sz val="11"/>
        <color theme="1"/>
        <rFont val="Aptos Narrow"/>
        <family val="2"/>
        <scheme val="minor"/>
      </rPr>
      <t xml:space="preserve"> Requires incorporating stakeholder requirements into AI risk management.</t>
    </r>
  </si>
  <si>
    <r>
      <t>4.2 – Needs &amp; expectations of interested parties:</t>
    </r>
    <r>
      <rPr>
        <sz val="11"/>
        <color theme="1"/>
        <rFont val="Aptos Narrow"/>
        <family val="2"/>
        <scheme val="minor"/>
      </rPr>
      <t xml:space="preserve"> Requires identifying regulators, suppliers, users, and their security/privacy/compliance needs. </t>
    </r>
    <r>
      <rPr>
        <b/>
        <sz val="11"/>
        <color theme="1"/>
        <rFont val="Aptos Narrow"/>
        <family val="2"/>
        <scheme val="minor"/>
      </rPr>
      <t>4.1 – Understanding context:</t>
    </r>
    <r>
      <rPr>
        <sz val="11"/>
        <color theme="1"/>
        <rFont val="Aptos Narrow"/>
        <family val="2"/>
        <scheme val="minor"/>
      </rPr>
      <t xml:space="preserve"> Requires determining how organizational relationships impact information security requirements.</t>
    </r>
  </si>
  <si>
    <r>
      <t>GOVERN 1.1 – Governance context:</t>
    </r>
    <r>
      <rPr>
        <sz val="11"/>
        <color theme="1"/>
        <rFont val="Aptos Narrow"/>
        <family val="2"/>
        <scheme val="minor"/>
      </rPr>
      <t xml:space="preserve"> Requires identifying stakeholders and understanding their expectations regarding risk, safety, security, and compliance. </t>
    </r>
    <r>
      <rPr>
        <b/>
        <sz val="11"/>
        <color theme="1"/>
        <rFont val="Aptos Narrow"/>
        <family val="2"/>
        <scheme val="minor"/>
      </rPr>
      <t>MAP 1.1 – Context understanding:</t>
    </r>
    <r>
      <rPr>
        <sz val="11"/>
        <color theme="1"/>
        <rFont val="Aptos Narrow"/>
        <family val="2"/>
        <scheme val="minor"/>
      </rPr>
      <t xml:space="preserve"> Requires documenting stakeholder needs and constraints that influence AI system design and operation.</t>
    </r>
  </si>
  <si>
    <r>
      <t>PM-5 – System categorization/context:</t>
    </r>
    <r>
      <rPr>
        <sz val="11"/>
        <color theme="1"/>
        <rFont val="Aptos Narrow"/>
        <family val="2"/>
        <scheme val="minor"/>
      </rPr>
      <t xml:space="preserve"> Requires identifying interested parties and their requirements. </t>
    </r>
    <r>
      <rPr>
        <b/>
        <sz val="11"/>
        <color theme="1"/>
        <rFont val="Aptos Narrow"/>
        <family val="2"/>
        <scheme val="minor"/>
      </rPr>
      <t>RA-3 – Risk assessment:</t>
    </r>
    <r>
      <rPr>
        <sz val="11"/>
        <color theme="1"/>
        <rFont val="Aptos Narrow"/>
        <family val="2"/>
        <scheme val="minor"/>
      </rPr>
      <t xml:space="preserve"> Requires integrating stakeholder requirements into risk evaluation. </t>
    </r>
    <r>
      <rPr>
        <b/>
        <sz val="11"/>
        <color theme="1"/>
        <rFont val="Aptos Narrow"/>
        <family val="2"/>
        <scheme val="minor"/>
      </rPr>
      <t>SR-2/SR-3 – Supply chain risk:</t>
    </r>
    <r>
      <rPr>
        <sz val="11"/>
        <color theme="1"/>
        <rFont val="Aptos Narrow"/>
        <family val="2"/>
        <scheme val="minor"/>
      </rPr>
      <t xml:space="preserve"> Applies to supplier and third-party AI provider requirements.</t>
    </r>
  </si>
  <si>
    <r>
      <t>6.2 – AI security objectives:</t>
    </r>
    <r>
      <rPr>
        <sz val="11"/>
        <color theme="1"/>
        <rFont val="Aptos Narrow"/>
        <family val="2"/>
        <scheme val="minor"/>
      </rPr>
      <t xml:space="preserve"> Requires establishing measurable objectives aligned with AI risk assessment. </t>
    </r>
    <r>
      <rPr>
        <b/>
        <sz val="11"/>
        <color theme="1"/>
        <rFont val="Aptos Narrow"/>
        <family val="2"/>
        <scheme val="minor"/>
      </rPr>
      <t>6.1 – Actions to address risks:</t>
    </r>
    <r>
      <rPr>
        <sz val="11"/>
        <color theme="1"/>
        <rFont val="Aptos Narrow"/>
        <family val="2"/>
        <scheme val="minor"/>
      </rPr>
      <t xml:space="preserve"> Ensures objectives reflect AI-specific threats (poisoning, adversarial attacks). </t>
    </r>
    <r>
      <rPr>
        <b/>
        <sz val="11"/>
        <color theme="1"/>
        <rFont val="Aptos Narrow"/>
        <family val="2"/>
        <scheme val="minor"/>
      </rPr>
      <t>9.1 – Monitoring:</t>
    </r>
    <r>
      <rPr>
        <sz val="11"/>
        <color theme="1"/>
        <rFont val="Aptos Narrow"/>
        <family val="2"/>
        <scheme val="minor"/>
      </rPr>
      <t xml:space="preserve"> Requires monitoring achievement of objectives.</t>
    </r>
  </si>
  <si>
    <r>
      <t>6.2 – Information security objectives:</t>
    </r>
    <r>
      <rPr>
        <sz val="11"/>
        <color theme="1"/>
        <rFont val="Aptos Narrow"/>
        <family val="2"/>
        <scheme val="minor"/>
      </rPr>
      <t xml:space="preserve"> Requires documented, measurable objectives aligned with risk assessment. </t>
    </r>
    <r>
      <rPr>
        <b/>
        <sz val="11"/>
        <color theme="1"/>
        <rFont val="Aptos Narrow"/>
        <family val="2"/>
        <scheme val="minor"/>
      </rPr>
      <t>5.1 – Leadership commitment:</t>
    </r>
    <r>
      <rPr>
        <sz val="11"/>
        <color theme="1"/>
        <rFont val="Aptos Narrow"/>
        <family val="2"/>
        <scheme val="minor"/>
      </rPr>
      <t xml:space="preserve"> Requires objectives to be approved by management.</t>
    </r>
  </si>
  <si>
    <r>
      <t>GOVERN 2.1 – Policies and objectives:</t>
    </r>
    <r>
      <rPr>
        <sz val="11"/>
        <color theme="1"/>
        <rFont val="Aptos Narrow"/>
        <family val="2"/>
        <scheme val="minor"/>
      </rPr>
      <t xml:space="preserve"> Requires setting security objectives for AI aligned to risk. </t>
    </r>
    <r>
      <rPr>
        <b/>
        <sz val="11"/>
        <color theme="1"/>
        <rFont val="Aptos Narrow"/>
        <family val="2"/>
        <scheme val="minor"/>
      </rPr>
      <t>MAP 1.3 – System characteristics:</t>
    </r>
    <r>
      <rPr>
        <sz val="11"/>
        <color theme="1"/>
        <rFont val="Aptos Narrow"/>
        <family val="2"/>
        <scheme val="minor"/>
      </rPr>
      <t xml:space="preserve"> Supports defining CIA/robustness needs of AI assets. </t>
    </r>
    <r>
      <rPr>
        <b/>
        <sz val="11"/>
        <color theme="1"/>
        <rFont val="Aptos Narrow"/>
        <family val="2"/>
        <scheme val="minor"/>
      </rPr>
      <t>MEASURE 1.1 – Risk identification:</t>
    </r>
    <r>
      <rPr>
        <sz val="11"/>
        <color theme="1"/>
        <rFont val="Aptos Narrow"/>
        <family val="2"/>
        <scheme val="minor"/>
      </rPr>
      <t xml:space="preserve"> Ensures objectives consider identified threats (drift, poisoning).</t>
    </r>
  </si>
  <si>
    <r>
      <t>PL-2 – System security objectives:</t>
    </r>
    <r>
      <rPr>
        <sz val="11"/>
        <color theme="1"/>
        <rFont val="Aptos Narrow"/>
        <family val="2"/>
        <scheme val="minor"/>
      </rPr>
      <t xml:space="preserve"> Requires defining measurable security goals. </t>
    </r>
    <r>
      <rPr>
        <b/>
        <sz val="11"/>
        <color theme="1"/>
        <rFont val="Aptos Narrow"/>
        <family val="2"/>
        <scheme val="minor"/>
      </rPr>
      <t>RA-3 – Risk assessment:</t>
    </r>
    <r>
      <rPr>
        <sz val="11"/>
        <color theme="1"/>
        <rFont val="Aptos Narrow"/>
        <family val="2"/>
        <scheme val="minor"/>
      </rPr>
      <t xml:space="preserve"> Objectives must reflect identified risks. </t>
    </r>
    <r>
      <rPr>
        <b/>
        <sz val="11"/>
        <color theme="1"/>
        <rFont val="Aptos Narrow"/>
        <family val="2"/>
        <scheme val="minor"/>
      </rPr>
      <t>SI-7 – Software/system integrity:</t>
    </r>
    <r>
      <rPr>
        <sz val="11"/>
        <color theme="1"/>
        <rFont val="Aptos Narrow"/>
        <family val="2"/>
        <scheme val="minor"/>
      </rPr>
      <t xml:space="preserve"> Supports objectives for model integrity and robustness. </t>
    </r>
    <r>
      <rPr>
        <b/>
        <sz val="11"/>
        <color theme="1"/>
        <rFont val="Aptos Narrow"/>
        <family val="2"/>
        <scheme val="minor"/>
      </rPr>
      <t>PM-11 – Mission/business processes:</t>
    </r>
    <r>
      <rPr>
        <sz val="11"/>
        <color theme="1"/>
        <rFont val="Aptos Narrow"/>
        <family val="2"/>
        <scheme val="minor"/>
      </rPr>
      <t xml:space="preserve"> Requires alignment of objectives to organizational context.</t>
    </r>
  </si>
  <si>
    <t>The organization shall define security objectives that explicitly address mitigation of AI-specific cybersecurity threats, including data poisoning, adversarial inputs, model evasion, inversion, membership inference, model extraction, LLM prompt injection, API abuse, drift, and supply-chain risks. Objectives must be tied to controls and risk treatments.</t>
  </si>
  <si>
    <r>
      <t>6.1 – Actions to address risks:</t>
    </r>
    <r>
      <rPr>
        <sz val="11"/>
        <color theme="1"/>
        <rFont val="Aptos Narrow"/>
        <family val="2"/>
        <scheme val="minor"/>
      </rPr>
      <t xml:space="preserve"> Requires identifying and treating AI-specific threats. </t>
    </r>
    <r>
      <rPr>
        <b/>
        <sz val="11"/>
        <color theme="1"/>
        <rFont val="Aptos Narrow"/>
        <family val="2"/>
        <scheme val="minor"/>
      </rPr>
      <t>6.2 – AI security objectives:</t>
    </r>
    <r>
      <rPr>
        <sz val="11"/>
        <color theme="1"/>
        <rFont val="Aptos Narrow"/>
        <family val="2"/>
        <scheme val="minor"/>
      </rPr>
      <t xml:space="preserve"> Requires objectives linked to threats such as poisoning and adversarial attacks. </t>
    </r>
    <r>
      <rPr>
        <b/>
        <sz val="11"/>
        <color theme="1"/>
        <rFont val="Aptos Narrow"/>
        <family val="2"/>
        <scheme val="minor"/>
      </rPr>
      <t>8.1 – Operational control:</t>
    </r>
    <r>
      <rPr>
        <sz val="11"/>
        <color theme="1"/>
        <rFont val="Aptos Narrow"/>
        <family val="2"/>
        <scheme val="minor"/>
      </rPr>
      <t xml:space="preserve"> Ensures threat mitigation is embedded into controls.</t>
    </r>
  </si>
  <si>
    <r>
      <t>6.1 – Information security risk treatment:</t>
    </r>
    <r>
      <rPr>
        <sz val="11"/>
        <color theme="1"/>
        <rFont val="Aptos Narrow"/>
        <family val="2"/>
        <scheme val="minor"/>
      </rPr>
      <t xml:space="preserve"> Requires treatment plans aligned with threats. </t>
    </r>
    <r>
      <rPr>
        <b/>
        <sz val="11"/>
        <color theme="1"/>
        <rFont val="Aptos Narrow"/>
        <family val="2"/>
        <scheme val="minor"/>
      </rPr>
      <t>6.2 – Security objectives:</t>
    </r>
    <r>
      <rPr>
        <sz val="11"/>
        <color theme="1"/>
        <rFont val="Aptos Narrow"/>
        <family val="2"/>
        <scheme val="minor"/>
      </rPr>
      <t xml:space="preserve"> Requires objectives addressing confidentiality, integrity, availability, and threat mitigation.</t>
    </r>
  </si>
  <si>
    <r>
      <t>MAP 1.3 – System characteristics:</t>
    </r>
    <r>
      <rPr>
        <sz val="11"/>
        <color theme="1"/>
        <rFont val="Aptos Narrow"/>
        <family val="2"/>
        <scheme val="minor"/>
      </rPr>
      <t xml:space="preserve"> Includes identification of adversarial surfaces and vulnerabilities. </t>
    </r>
    <r>
      <rPr>
        <b/>
        <sz val="11"/>
        <color theme="1"/>
        <rFont val="Aptos Narrow"/>
        <family val="2"/>
        <scheme val="minor"/>
      </rPr>
      <t>MEASURE 1.1 – Risk identification:</t>
    </r>
    <r>
      <rPr>
        <sz val="11"/>
        <color theme="1"/>
        <rFont val="Aptos Narrow"/>
        <family val="2"/>
        <scheme val="minor"/>
      </rPr>
      <t xml:space="preserve"> Identifies AI-specific threats like poisoning, drift, extraction. </t>
    </r>
    <r>
      <rPr>
        <b/>
        <sz val="11"/>
        <color theme="1"/>
        <rFont val="Aptos Narrow"/>
        <family val="2"/>
        <scheme val="minor"/>
      </rPr>
      <t>MANAGE 2.1 – Risk response:</t>
    </r>
    <r>
      <rPr>
        <sz val="11"/>
        <color theme="1"/>
        <rFont val="Aptos Narrow"/>
        <family val="2"/>
        <scheme val="minor"/>
      </rPr>
      <t xml:space="preserve"> Requires selecting controls to mitigate these threats. </t>
    </r>
    <r>
      <rPr>
        <b/>
        <sz val="11"/>
        <color theme="1"/>
        <rFont val="Aptos Narrow"/>
        <family val="2"/>
        <scheme val="minor"/>
      </rPr>
      <t>GOVERN 2.1 – Policies/objectives:</t>
    </r>
    <r>
      <rPr>
        <sz val="11"/>
        <color theme="1"/>
        <rFont val="Aptos Narrow"/>
        <family val="2"/>
        <scheme val="minor"/>
      </rPr>
      <t xml:space="preserve"> Ensures objectives reflect adversarial and supply-chain risks.</t>
    </r>
  </si>
  <si>
    <r>
      <t>RA-3 – Risk assessment:</t>
    </r>
    <r>
      <rPr>
        <sz val="11"/>
        <color theme="1"/>
        <rFont val="Aptos Narrow"/>
        <family val="2"/>
        <scheme val="minor"/>
      </rPr>
      <t xml:space="preserve"> Requires analysis of adversarial and supply-chain threats. </t>
    </r>
    <r>
      <rPr>
        <b/>
        <sz val="11"/>
        <color theme="1"/>
        <rFont val="Aptos Narrow"/>
        <family val="2"/>
        <scheme val="minor"/>
      </rPr>
      <t>SI-7 – Software/Model integrity:</t>
    </r>
    <r>
      <rPr>
        <sz val="11"/>
        <color theme="1"/>
        <rFont val="Aptos Narrow"/>
        <family val="2"/>
        <scheme val="minor"/>
      </rPr>
      <t xml:space="preserve"> Addresses evasion, poisoning, tampering, extraction. </t>
    </r>
    <r>
      <rPr>
        <b/>
        <sz val="11"/>
        <color theme="1"/>
        <rFont val="Aptos Narrow"/>
        <family val="2"/>
        <scheme val="minor"/>
      </rPr>
      <t>SA-8 – Interface protections:</t>
    </r>
    <r>
      <rPr>
        <sz val="11"/>
        <color theme="1"/>
        <rFont val="Aptos Narrow"/>
        <family val="2"/>
        <scheme val="minor"/>
      </rPr>
      <t xml:space="preserve"> Supports mitigation of prompt injection and API abuse. </t>
    </r>
    <r>
      <rPr>
        <b/>
        <sz val="11"/>
        <color theme="1"/>
        <rFont val="Aptos Narrow"/>
        <family val="2"/>
        <scheme val="minor"/>
      </rPr>
      <t>SR-3/SR-11 – Supply chain risk:</t>
    </r>
    <r>
      <rPr>
        <sz val="11"/>
        <color theme="1"/>
        <rFont val="Aptos Narrow"/>
        <family val="2"/>
        <scheme val="minor"/>
      </rPr>
      <t xml:space="preserve"> Addresses external model, dataset, and pipeline compromise.</t>
    </r>
  </si>
  <si>
    <t>The organization shall define CIA requirements specifically for AI models, datasets, pipelines, APIs, and supporting infrastructure. CIA requirements must reflect training data sensitivity, model IP protection, operational reliability, and exposure to AI-specific threats such as model tampering, poisoning, adversarial manipulation, extraction, unauthorized access, and inference abuse. CIA requirements shall be documented, measurable, and reviewed regularly.</t>
  </si>
  <si>
    <r>
      <t>6.2 – Security objectives:</t>
    </r>
    <r>
      <rPr>
        <sz val="11"/>
        <color theme="1"/>
        <rFont val="Aptos Narrow"/>
        <family val="2"/>
        <scheme val="minor"/>
      </rPr>
      <t xml:space="preserve"> Requires measurable CIA-related objectives for AI assets. </t>
    </r>
    <r>
      <rPr>
        <b/>
        <sz val="11"/>
        <color theme="1"/>
        <rFont val="Aptos Narrow"/>
        <family val="2"/>
        <scheme val="minor"/>
      </rPr>
      <t>6.1 – Actions to address risks:</t>
    </r>
    <r>
      <rPr>
        <sz val="11"/>
        <color theme="1"/>
        <rFont val="Aptos Narrow"/>
        <family val="2"/>
        <scheme val="minor"/>
      </rPr>
      <t xml:space="preserve"> CIA requirements must align with AI risk assessment (model tampering, poisoning, adversarial misuse). </t>
    </r>
    <r>
      <rPr>
        <b/>
        <sz val="11"/>
        <color theme="1"/>
        <rFont val="Aptos Narrow"/>
        <family val="2"/>
        <scheme val="minor"/>
      </rPr>
      <t>8.1 – Operational control:</t>
    </r>
    <r>
      <rPr>
        <sz val="11"/>
        <color theme="1"/>
        <rFont val="Aptos Narrow"/>
        <family val="2"/>
        <scheme val="minor"/>
      </rPr>
      <t xml:space="preserve"> Requires implementing and reviewing controls that protect CIA of AI components.</t>
    </r>
  </si>
  <si>
    <r>
      <t>6.2 – Information security objectives:</t>
    </r>
    <r>
      <rPr>
        <sz val="11"/>
        <color theme="1"/>
        <rFont val="Aptos Narrow"/>
        <family val="2"/>
        <scheme val="minor"/>
      </rPr>
      <t xml:space="preserve"> CIA requirements must be documented, measurable, and aligned with risk. </t>
    </r>
    <r>
      <rPr>
        <b/>
        <sz val="11"/>
        <color theme="1"/>
        <rFont val="Aptos Narrow"/>
        <family val="2"/>
        <scheme val="minor"/>
      </rPr>
      <t>4.1/4.2 – Context &amp; Interested parties:</t>
    </r>
    <r>
      <rPr>
        <sz val="11"/>
        <color theme="1"/>
        <rFont val="Aptos Narrow"/>
        <family val="2"/>
        <scheme val="minor"/>
      </rPr>
      <t xml:space="preserve"> CIA requirements must reflect internal/external expectations and the sensitivity of AI assets.</t>
    </r>
  </si>
  <si>
    <r>
      <t>MAP 1.3 – System characteristics:</t>
    </r>
    <r>
      <rPr>
        <sz val="11"/>
        <color theme="1"/>
        <rFont val="Aptos Narrow"/>
        <family val="2"/>
        <scheme val="minor"/>
      </rPr>
      <t xml:space="preserve"> Identifies sensitivity, model IP value, and exposure points. </t>
    </r>
    <r>
      <rPr>
        <b/>
        <sz val="11"/>
        <color theme="1"/>
        <rFont val="Aptos Narrow"/>
        <family val="2"/>
        <scheme val="minor"/>
      </rPr>
      <t>MEASURE 1.1 – Risk identification:</t>
    </r>
    <r>
      <rPr>
        <sz val="11"/>
        <color theme="1"/>
        <rFont val="Aptos Narrow"/>
        <family val="2"/>
        <scheme val="minor"/>
      </rPr>
      <t xml:space="preserve"> Identifies threats to CIA—poisoning, extraction, adversarial manipulation. </t>
    </r>
    <r>
      <rPr>
        <b/>
        <sz val="11"/>
        <color theme="1"/>
        <rFont val="Aptos Narrow"/>
        <family val="2"/>
        <scheme val="minor"/>
      </rPr>
      <t>MANAGE 2.1 – Risk response:</t>
    </r>
    <r>
      <rPr>
        <sz val="11"/>
        <color theme="1"/>
        <rFont val="Aptos Narrow"/>
        <family val="2"/>
        <scheme val="minor"/>
      </rPr>
      <t xml:space="preserve"> Ensures CIA protections and controls are selected based on threats.</t>
    </r>
  </si>
  <si>
    <r>
      <t>SI-7 – Software/system integrity:</t>
    </r>
    <r>
      <rPr>
        <sz val="11"/>
        <color theme="1"/>
        <rFont val="Aptos Narrow"/>
        <family val="2"/>
        <scheme val="minor"/>
      </rPr>
      <t xml:space="preserve"> Covers protections from model tampering, poisoning, evasion. </t>
    </r>
    <r>
      <rPr>
        <b/>
        <sz val="11"/>
        <color theme="1"/>
        <rFont val="Aptos Narrow"/>
        <family val="2"/>
        <scheme val="minor"/>
      </rPr>
      <t>MP-5 / SC-28 – Data confidentiality:</t>
    </r>
    <r>
      <rPr>
        <sz val="11"/>
        <color theme="1"/>
        <rFont val="Aptos Narrow"/>
        <family val="2"/>
        <scheme val="minor"/>
      </rPr>
      <t xml:space="preserve"> Protects sensitive training data and model IP. </t>
    </r>
    <r>
      <rPr>
        <b/>
        <sz val="11"/>
        <color theme="1"/>
        <rFont val="Aptos Narrow"/>
        <family val="2"/>
        <scheme val="minor"/>
      </rPr>
      <t>AC-3 – Access enforcement:</t>
    </r>
    <r>
      <rPr>
        <sz val="11"/>
        <color theme="1"/>
        <rFont val="Aptos Narrow"/>
        <family val="2"/>
        <scheme val="minor"/>
      </rPr>
      <t xml:space="preserve"> Addresses unauthorized access and inference abuse. </t>
    </r>
    <r>
      <rPr>
        <b/>
        <sz val="11"/>
        <color theme="1"/>
        <rFont val="Aptos Narrow"/>
        <family val="2"/>
        <scheme val="minor"/>
      </rPr>
      <t>CP-2 / SC-5 – Availability:</t>
    </r>
    <r>
      <rPr>
        <sz val="11"/>
        <color theme="1"/>
        <rFont val="Aptos Narrow"/>
        <family val="2"/>
        <scheme val="minor"/>
      </rPr>
      <t xml:space="preserve"> Supports reliability and availability requirements.</t>
    </r>
  </si>
  <si>
    <t>The organization shall ensure that AI security objectives are applied consistently across all stages of the AI lifecycle (data collection, preparation, development, training, testing, deployment, inference, monitoring, maintenance, decommissioning). AI-specific threats (poisoning, adversarial testing, tampering, drift, supply-chain compromise) must be addressed at the appropriate lifecycle stage. Responsibilities must be clearly assigned.</t>
  </si>
  <si>
    <r>
      <t>4.1 – Context:</t>
    </r>
    <r>
      <rPr>
        <sz val="11"/>
        <color theme="1"/>
        <rFont val="Aptos Narrow"/>
        <family val="2"/>
        <scheme val="minor"/>
      </rPr>
      <t xml:space="preserve"> Requires identification of lifecycle processes and how they affect AI security. </t>
    </r>
    <r>
      <rPr>
        <b/>
        <sz val="11"/>
        <color theme="1"/>
        <rFont val="Aptos Narrow"/>
        <family val="2"/>
        <scheme val="minor"/>
      </rPr>
      <t>6.1 – Actions to address risks:</t>
    </r>
    <r>
      <rPr>
        <sz val="11"/>
        <color theme="1"/>
        <rFont val="Aptos Narrow"/>
        <family val="2"/>
        <scheme val="minor"/>
      </rPr>
      <t xml:space="preserve"> Requires addressing AI threats at each lifecycle stage. </t>
    </r>
    <r>
      <rPr>
        <b/>
        <sz val="11"/>
        <color theme="1"/>
        <rFont val="Aptos Narrow"/>
        <family val="2"/>
        <scheme val="minor"/>
      </rPr>
      <t>6.2 – Security objectives:</t>
    </r>
    <r>
      <rPr>
        <sz val="11"/>
        <color theme="1"/>
        <rFont val="Aptos Narrow"/>
        <family val="2"/>
        <scheme val="minor"/>
      </rPr>
      <t xml:space="preserve"> Ensures objectives apply throughout lifecycle. </t>
    </r>
    <r>
      <rPr>
        <b/>
        <sz val="11"/>
        <color theme="1"/>
        <rFont val="Aptos Narrow"/>
        <family val="2"/>
        <scheme val="minor"/>
      </rPr>
      <t>8.1 – Operational planning &amp; control:</t>
    </r>
    <r>
      <rPr>
        <sz val="11"/>
        <color theme="1"/>
        <rFont val="Aptos Narrow"/>
        <family val="2"/>
        <scheme val="minor"/>
      </rPr>
      <t xml:space="preserve"> Requires integrating controls, responsibilities, and processes across lifecycle activities.</t>
    </r>
  </si>
  <si>
    <r>
      <t>4.1 – Understanding the organization:</t>
    </r>
    <r>
      <rPr>
        <sz val="11"/>
        <color theme="1"/>
        <rFont val="Aptos Narrow"/>
        <family val="2"/>
        <scheme val="minor"/>
      </rPr>
      <t xml:space="preserve"> Requires identification of lifecycle processes affecting security. </t>
    </r>
    <r>
      <rPr>
        <b/>
        <sz val="11"/>
        <color theme="1"/>
        <rFont val="Aptos Narrow"/>
        <family val="2"/>
        <scheme val="minor"/>
      </rPr>
      <t>4.2 – Interested parties:</t>
    </r>
    <r>
      <rPr>
        <sz val="11"/>
        <color theme="1"/>
        <rFont val="Aptos Narrow"/>
        <family val="2"/>
        <scheme val="minor"/>
      </rPr>
      <t xml:space="preserve"> Requires addressing expectations for security across lifecycle stages. </t>
    </r>
    <r>
      <rPr>
        <b/>
        <sz val="11"/>
        <color theme="1"/>
        <rFont val="Aptos Narrow"/>
        <family val="2"/>
        <scheme val="minor"/>
      </rPr>
      <t>6.1 – Risk treatment planning:</t>
    </r>
    <r>
      <rPr>
        <sz val="11"/>
        <color theme="1"/>
        <rFont val="Aptos Narrow"/>
        <family val="2"/>
        <scheme val="minor"/>
      </rPr>
      <t xml:space="preserve"> Requires assigning responsibilities and applying controls across the lifecycle. </t>
    </r>
    <r>
      <rPr>
        <b/>
        <sz val="11"/>
        <color theme="1"/>
        <rFont val="Aptos Narrow"/>
        <family val="2"/>
        <scheme val="minor"/>
      </rPr>
      <t>6.2 – Security objectives:</t>
    </r>
    <r>
      <rPr>
        <sz val="11"/>
        <color theme="1"/>
        <rFont val="Aptos Narrow"/>
        <family val="2"/>
        <scheme val="minor"/>
      </rPr>
      <t xml:space="preserve"> Ensures consistency of objectives across operational stages.</t>
    </r>
  </si>
  <si>
    <r>
      <t>MAP 1.3 – System characteristics:</t>
    </r>
    <r>
      <rPr>
        <sz val="11"/>
        <color theme="1"/>
        <rFont val="Aptos Narrow"/>
        <family val="2"/>
        <scheme val="minor"/>
      </rPr>
      <t xml:space="preserve"> Requires analysis of lifecycle components and functional stages. </t>
    </r>
    <r>
      <rPr>
        <b/>
        <sz val="11"/>
        <color theme="1"/>
        <rFont val="Aptos Narrow"/>
        <family val="2"/>
        <scheme val="minor"/>
      </rPr>
      <t>MEASURE 1.1 – Risk ID:</t>
    </r>
    <r>
      <rPr>
        <sz val="11"/>
        <color theme="1"/>
        <rFont val="Aptos Narrow"/>
        <family val="2"/>
        <scheme val="minor"/>
      </rPr>
      <t xml:space="preserve"> Identifies lifecycle-specific risks such as poisoning during ingestion and drift during operation. </t>
    </r>
    <r>
      <rPr>
        <b/>
        <sz val="11"/>
        <color theme="1"/>
        <rFont val="Aptos Narrow"/>
        <family val="2"/>
        <scheme val="minor"/>
      </rPr>
      <t>MANAGE 2.1 – Risk response:</t>
    </r>
    <r>
      <rPr>
        <sz val="11"/>
        <color theme="1"/>
        <rFont val="Aptos Narrow"/>
        <family val="2"/>
        <scheme val="minor"/>
      </rPr>
      <t xml:space="preserve"> Ensures lifecycle-targeted mitigations. </t>
    </r>
    <r>
      <rPr>
        <b/>
        <sz val="11"/>
        <color theme="1"/>
        <rFont val="Aptos Narrow"/>
        <family val="2"/>
        <scheme val="minor"/>
      </rPr>
      <t>GOVERN 1.1 – Governance context:</t>
    </r>
    <r>
      <rPr>
        <sz val="11"/>
        <color theme="1"/>
        <rFont val="Aptos Narrow"/>
        <family val="2"/>
        <scheme val="minor"/>
      </rPr>
      <t xml:space="preserve"> Requires assigning responsibilities across lifecycle stages.</t>
    </r>
  </si>
  <si>
    <r>
      <t>SA-3 – System development lifecycle:</t>
    </r>
    <r>
      <rPr>
        <sz val="11"/>
        <color theme="1"/>
        <rFont val="Aptos Narrow"/>
        <family val="2"/>
        <scheme val="minor"/>
      </rPr>
      <t xml:space="preserve"> Requires integrating security into every lifecycle stage. </t>
    </r>
    <r>
      <rPr>
        <b/>
        <sz val="11"/>
        <color theme="1"/>
        <rFont val="Aptos Narrow"/>
        <family val="2"/>
        <scheme val="minor"/>
      </rPr>
      <t>RA-3 – Risk assessment:</t>
    </r>
    <r>
      <rPr>
        <sz val="11"/>
        <color theme="1"/>
        <rFont val="Aptos Narrow"/>
        <family val="2"/>
        <scheme val="minor"/>
      </rPr>
      <t xml:space="preserve"> Considers risks at each lifecycle phase. </t>
    </r>
    <r>
      <rPr>
        <b/>
        <sz val="11"/>
        <color theme="1"/>
        <rFont val="Aptos Narrow"/>
        <family val="2"/>
        <scheme val="minor"/>
      </rPr>
      <t>SI-7 – Integrity controls:</t>
    </r>
    <r>
      <rPr>
        <sz val="11"/>
        <color theme="1"/>
        <rFont val="Aptos Narrow"/>
        <family val="2"/>
        <scheme val="minor"/>
      </rPr>
      <t xml:space="preserve"> Ensures protection from tampering, poisoning, and model manipulation across lifecycle. </t>
    </r>
    <r>
      <rPr>
        <b/>
        <sz val="11"/>
        <color theme="1"/>
        <rFont val="Aptos Narrow"/>
        <family val="2"/>
        <scheme val="minor"/>
      </rPr>
      <t>SR-3/SR-11 – Supply chain risk:</t>
    </r>
    <r>
      <rPr>
        <sz val="11"/>
        <color theme="1"/>
        <rFont val="Aptos Narrow"/>
        <family val="2"/>
        <scheme val="minor"/>
      </rPr>
      <t xml:space="preserve"> Addresses lifecycle supply-chain dependencies.</t>
    </r>
  </si>
  <si>
    <t>The organization shall define AI security objectives that ensure compliance with legal, regulatory, contractual, and internal requirements. Objectives must also address trustworthiness dimensions—transparency, reliability, robustness, explainability (when applicable), and safety. Objectives must meet expectations of regulators, customers, governance bodies, and external stakeholders. They must be measurable, documented, reviewed periodically, and integrated into AI governance processes.</t>
  </si>
  <si>
    <r>
      <t>4.2 – Needs and expectations of stakeholders:</t>
    </r>
    <r>
      <rPr>
        <sz val="11"/>
        <color theme="1"/>
        <rFont val="Aptos Narrow"/>
        <family val="2"/>
        <scheme val="minor"/>
      </rPr>
      <t xml:space="preserve"> Requires identifying regulatory, contractual, and governance requirements. </t>
    </r>
    <r>
      <rPr>
        <b/>
        <sz val="11"/>
        <color theme="1"/>
        <rFont val="Aptos Narrow"/>
        <family val="2"/>
        <scheme val="minor"/>
      </rPr>
      <t>4.1 – Context:</t>
    </r>
    <r>
      <rPr>
        <sz val="11"/>
        <color theme="1"/>
        <rFont val="Aptos Narrow"/>
        <family val="2"/>
        <scheme val="minor"/>
      </rPr>
      <t xml:space="preserve"> Requires internal/external requirements impacting trustworthiness. </t>
    </r>
    <r>
      <rPr>
        <b/>
        <sz val="11"/>
        <color theme="1"/>
        <rFont val="Aptos Narrow"/>
        <family val="2"/>
        <scheme val="minor"/>
      </rPr>
      <t>6.2 – AI security objectives:</t>
    </r>
    <r>
      <rPr>
        <sz val="11"/>
        <color theme="1"/>
        <rFont val="Aptos Narrow"/>
        <family val="2"/>
        <scheme val="minor"/>
      </rPr>
      <t xml:space="preserve"> Requires measurable objectives covering compliance and trustworthiness (transparency, reliability, robustness, explainability). </t>
    </r>
    <r>
      <rPr>
        <b/>
        <sz val="11"/>
        <color theme="1"/>
        <rFont val="Aptos Narrow"/>
        <family val="2"/>
        <scheme val="minor"/>
      </rPr>
      <t>9.1 – Monitoring:</t>
    </r>
    <r>
      <rPr>
        <sz val="11"/>
        <color theme="1"/>
        <rFont val="Aptos Narrow"/>
        <family val="2"/>
        <scheme val="minor"/>
      </rPr>
      <t xml:space="preserve"> Requires periodic review of objectives.</t>
    </r>
  </si>
  <si>
    <r>
      <t>4.2 – Interested parties:</t>
    </r>
    <r>
      <rPr>
        <sz val="11"/>
        <color theme="1"/>
        <rFont val="Aptos Narrow"/>
        <family val="2"/>
        <scheme val="minor"/>
      </rPr>
      <t xml:space="preserve"> Requires identifying and meeting regulatory, legal, and contractual needs. </t>
    </r>
    <r>
      <rPr>
        <b/>
        <sz val="11"/>
        <color theme="1"/>
        <rFont val="Aptos Narrow"/>
        <family val="2"/>
        <scheme val="minor"/>
      </rPr>
      <t>4.1 – Context:</t>
    </r>
    <r>
      <rPr>
        <sz val="11"/>
        <color theme="1"/>
        <rFont val="Aptos Narrow"/>
        <family val="2"/>
        <scheme val="minor"/>
      </rPr>
      <t xml:space="preserve"> Requires identifying internal requirements and stakeholder expectations. </t>
    </r>
    <r>
      <rPr>
        <b/>
        <sz val="11"/>
        <color theme="1"/>
        <rFont val="Aptos Narrow"/>
        <family val="2"/>
        <scheme val="minor"/>
      </rPr>
      <t>6.2 – Security objectives:</t>
    </r>
    <r>
      <rPr>
        <sz val="11"/>
        <color theme="1"/>
        <rFont val="Aptos Narrow"/>
        <family val="2"/>
        <scheme val="minor"/>
      </rPr>
      <t xml:space="preserve"> Requires objectives to be measurable, documented, and consistent with compliance obligations.</t>
    </r>
  </si>
  <si>
    <r>
      <t>GOVERN 1.1 – Governance context:</t>
    </r>
    <r>
      <rPr>
        <sz val="11"/>
        <color theme="1"/>
        <rFont val="Aptos Narrow"/>
        <family val="2"/>
        <scheme val="minor"/>
      </rPr>
      <t xml:space="preserve"> Requires meeting legal, regulatory, contractual, and ethical expectations. </t>
    </r>
    <r>
      <rPr>
        <b/>
        <sz val="11"/>
        <color theme="1"/>
        <rFont val="Aptos Narrow"/>
        <family val="2"/>
        <scheme val="minor"/>
      </rPr>
      <t>GOVERN 2.1 – Policies &amp; objectives:</t>
    </r>
    <r>
      <rPr>
        <sz val="11"/>
        <color theme="1"/>
        <rFont val="Aptos Narrow"/>
        <family val="2"/>
        <scheme val="minor"/>
      </rPr>
      <t xml:space="preserve"> Includes trustworthiness attributes: transparency, reliability, robustness, safety. </t>
    </r>
    <r>
      <rPr>
        <b/>
        <sz val="11"/>
        <color theme="1"/>
        <rFont val="Aptos Narrow"/>
        <family val="2"/>
        <scheme val="minor"/>
      </rPr>
      <t>MAP 1.1 – Context:</t>
    </r>
    <r>
      <rPr>
        <sz val="11"/>
        <color theme="1"/>
        <rFont val="Aptos Narrow"/>
        <family val="2"/>
        <scheme val="minor"/>
      </rPr>
      <t xml:space="preserve"> Identifies trust and compliance obligations. </t>
    </r>
    <r>
      <rPr>
        <b/>
        <sz val="11"/>
        <color theme="1"/>
        <rFont val="Aptos Narrow"/>
        <family val="2"/>
        <scheme val="minor"/>
      </rPr>
      <t>MEASURE 1.1 – Risk ID:</t>
    </r>
    <r>
      <rPr>
        <sz val="11"/>
        <color theme="1"/>
        <rFont val="Aptos Narrow"/>
        <family val="2"/>
        <scheme val="minor"/>
      </rPr>
      <t xml:space="preserve"> Ensures objectives align with exposure to trust/safety risks.</t>
    </r>
  </si>
  <si>
    <r>
      <t>PM-11 – Mission/Business process:</t>
    </r>
    <r>
      <rPr>
        <sz val="11"/>
        <color theme="1"/>
        <rFont val="Aptos Narrow"/>
        <family val="2"/>
        <scheme val="minor"/>
      </rPr>
      <t xml:space="preserve"> Ensures alignment with organizational and regulatory requirements. </t>
    </r>
    <r>
      <rPr>
        <b/>
        <sz val="11"/>
        <color theme="1"/>
        <rFont val="Aptos Narrow"/>
        <family val="2"/>
        <scheme val="minor"/>
      </rPr>
      <t>PL-2 – Security objectives:</t>
    </r>
    <r>
      <rPr>
        <sz val="11"/>
        <color theme="1"/>
        <rFont val="Aptos Narrow"/>
        <family val="2"/>
        <scheme val="minor"/>
      </rPr>
      <t xml:space="preserve"> Requires measurable and reviewable objectives. </t>
    </r>
    <r>
      <rPr>
        <b/>
        <sz val="11"/>
        <color theme="1"/>
        <rFont val="Aptos Narrow"/>
        <family val="2"/>
        <scheme val="minor"/>
      </rPr>
      <t>RA-3 – Risk assessment:</t>
    </r>
    <r>
      <rPr>
        <sz val="11"/>
        <color theme="1"/>
        <rFont val="Aptos Narrow"/>
        <family val="2"/>
        <scheme val="minor"/>
      </rPr>
      <t xml:space="preserve"> Ensures trustworthiness risks (reliability, safety, robustness) are analyzed. </t>
    </r>
    <r>
      <rPr>
        <b/>
        <sz val="11"/>
        <color theme="1"/>
        <rFont val="Aptos Narrow"/>
        <family val="2"/>
        <scheme val="minor"/>
      </rPr>
      <t>CA-7 – Continuous monitoring:</t>
    </r>
    <r>
      <rPr>
        <sz val="11"/>
        <color theme="1"/>
        <rFont val="Aptos Narrow"/>
        <family val="2"/>
        <scheme val="minor"/>
      </rPr>
      <t xml:space="preserve"> Supports periodic objective review.</t>
    </r>
  </si>
  <si>
    <t>The organization shall ensure that AI security objectives are supported by measurable goals and KPIs. Metrics must track cybersecurity performance across AI models, datasets, pipelines, and APIs. KPIs shall reflect AI-specific risks such as drift, adversarial attempts, poisoning indicators, model integrity failures, and inference abuse. Goals must be reviewed, monitored, and used to drive continuous improvement.</t>
  </si>
  <si>
    <r>
      <t>6.2 – Security objectives:</t>
    </r>
    <r>
      <rPr>
        <sz val="11"/>
        <color theme="1"/>
        <rFont val="Aptos Narrow"/>
        <family val="2"/>
        <scheme val="minor"/>
      </rPr>
      <t xml:space="preserve"> Requires objectives to include measurable indicators. </t>
    </r>
    <r>
      <rPr>
        <b/>
        <sz val="11"/>
        <color theme="1"/>
        <rFont val="Aptos Narrow"/>
        <family val="2"/>
        <scheme val="minor"/>
      </rPr>
      <t>9.1 – Monitoring, measurement, analysis:</t>
    </r>
    <r>
      <rPr>
        <sz val="11"/>
        <color theme="1"/>
        <rFont val="Aptos Narrow"/>
        <family val="2"/>
        <scheme val="minor"/>
      </rPr>
      <t xml:space="preserve"> Requires establishing KPIs and evaluating performance. </t>
    </r>
    <r>
      <rPr>
        <b/>
        <sz val="11"/>
        <color theme="1"/>
        <rFont val="Aptos Narrow"/>
        <family val="2"/>
        <scheme val="minor"/>
      </rPr>
      <t>9.3 – Management review:</t>
    </r>
    <r>
      <rPr>
        <sz val="11"/>
        <color theme="1"/>
        <rFont val="Aptos Narrow"/>
        <family val="2"/>
        <scheme val="minor"/>
      </rPr>
      <t xml:space="preserve"> Ensures continual improvement based on KPI results. </t>
    </r>
    <r>
      <rPr>
        <b/>
        <sz val="11"/>
        <color theme="1"/>
        <rFont val="Aptos Narrow"/>
        <family val="2"/>
        <scheme val="minor"/>
      </rPr>
      <t>6.1 – Risk actions:</t>
    </r>
    <r>
      <rPr>
        <sz val="11"/>
        <color theme="1"/>
        <rFont val="Aptos Narrow"/>
        <family val="2"/>
        <scheme val="minor"/>
      </rPr>
      <t xml:space="preserve"> KPIs must correspond to identified AI threats.</t>
    </r>
  </si>
  <si>
    <r>
      <t>6.2 – Information security objectives:</t>
    </r>
    <r>
      <rPr>
        <sz val="11"/>
        <color theme="1"/>
        <rFont val="Aptos Narrow"/>
        <family val="2"/>
        <scheme val="minor"/>
      </rPr>
      <t xml:space="preserve"> Requires measurable goals aligned to risk. </t>
    </r>
    <r>
      <rPr>
        <b/>
        <sz val="11"/>
        <color theme="1"/>
        <rFont val="Aptos Narrow"/>
        <family val="2"/>
        <scheme val="minor"/>
      </rPr>
      <t>9.1 – Performance evaluation:</t>
    </r>
    <r>
      <rPr>
        <sz val="11"/>
        <color theme="1"/>
        <rFont val="Aptos Narrow"/>
        <family val="2"/>
        <scheme val="minor"/>
      </rPr>
      <t xml:space="preserve"> Requires monitoring and measuring the effectiveness of security objectives. </t>
    </r>
    <r>
      <rPr>
        <b/>
        <sz val="11"/>
        <color theme="1"/>
        <rFont val="Aptos Narrow"/>
        <family val="2"/>
        <scheme val="minor"/>
      </rPr>
      <t>10.1 – Continual improvement:</t>
    </r>
    <r>
      <rPr>
        <sz val="11"/>
        <color theme="1"/>
        <rFont val="Aptos Narrow"/>
        <family val="2"/>
        <scheme val="minor"/>
      </rPr>
      <t xml:space="preserve"> KPI outcomes must feed improvement processes.</t>
    </r>
  </si>
  <si>
    <r>
      <t>MEASURE 2.x – Performance measurement:</t>
    </r>
    <r>
      <rPr>
        <sz val="11"/>
        <color theme="1"/>
        <rFont val="Aptos Narrow"/>
        <family val="2"/>
        <scheme val="minor"/>
      </rPr>
      <t xml:space="preserve"> Requires defining AI-specific metrics to evaluate risks such as drift, poisoning, adversarial behavior. </t>
    </r>
    <r>
      <rPr>
        <b/>
        <sz val="11"/>
        <color theme="1"/>
        <rFont val="Aptos Narrow"/>
        <family val="2"/>
        <scheme val="minor"/>
      </rPr>
      <t>GOVERN 2.1 – Policies &amp; objectives:</t>
    </r>
    <r>
      <rPr>
        <sz val="11"/>
        <color theme="1"/>
        <rFont val="Aptos Narrow"/>
        <family val="2"/>
        <scheme val="minor"/>
      </rPr>
      <t xml:space="preserve"> Requires measurable objectives tied to governance. </t>
    </r>
    <r>
      <rPr>
        <b/>
        <sz val="11"/>
        <color theme="1"/>
        <rFont val="Aptos Narrow"/>
        <family val="2"/>
        <scheme val="minor"/>
      </rPr>
      <t>MANAGE 3.2 – Improvement:</t>
    </r>
    <r>
      <rPr>
        <sz val="11"/>
        <color theme="1"/>
        <rFont val="Aptos Narrow"/>
        <family val="2"/>
        <scheme val="minor"/>
      </rPr>
      <t xml:space="preserve"> KPI results must drive corrective actions and refinement.</t>
    </r>
  </si>
  <si>
    <r>
      <t>CA-7 – Continuous monitoring:</t>
    </r>
    <r>
      <rPr>
        <sz val="11"/>
        <color theme="1"/>
        <rFont val="Aptos Narrow"/>
        <family val="2"/>
        <scheme val="minor"/>
      </rPr>
      <t xml:space="preserve"> Supports ongoing KPI-based monitoring. </t>
    </r>
    <r>
      <rPr>
        <b/>
        <sz val="11"/>
        <color theme="1"/>
        <rFont val="Aptos Narrow"/>
        <family val="2"/>
        <scheme val="minor"/>
      </rPr>
      <t>PM-6 – Metrics:</t>
    </r>
    <r>
      <rPr>
        <sz val="11"/>
        <color theme="1"/>
        <rFont val="Aptos Narrow"/>
        <family val="2"/>
        <scheme val="minor"/>
      </rPr>
      <t xml:space="preserve"> Requires establishing performance measures. </t>
    </r>
    <r>
      <rPr>
        <b/>
        <sz val="11"/>
        <color theme="1"/>
        <rFont val="Aptos Narrow"/>
        <family val="2"/>
        <scheme val="minor"/>
      </rPr>
      <t>RA-5 – Vulnerability monitoring:</t>
    </r>
    <r>
      <rPr>
        <sz val="11"/>
        <color theme="1"/>
        <rFont val="Aptos Narrow"/>
        <family val="2"/>
        <scheme val="minor"/>
      </rPr>
      <t xml:space="preserve"> Aligns with model integrity and drift indicators. </t>
    </r>
    <r>
      <rPr>
        <b/>
        <sz val="11"/>
        <color theme="1"/>
        <rFont val="Aptos Narrow"/>
        <family val="2"/>
        <scheme val="minor"/>
      </rPr>
      <t>SI-7 – Integrity checks:</t>
    </r>
    <r>
      <rPr>
        <sz val="11"/>
        <color theme="1"/>
        <rFont val="Aptos Narrow"/>
        <family val="2"/>
        <scheme val="minor"/>
      </rPr>
      <t xml:space="preserve"> Supports KPIs related to model tampering, poisoning, integrity failures.</t>
    </r>
  </si>
  <si>
    <t>Organization shall monitor AI security controls across lifecycle stages and detect poisoning, drift, adversarial misuse, tampering, prompt injection, and inference abuse. Monitoring must be documented and reviewed.</t>
  </si>
  <si>
    <r>
      <t>9.1 – Monitoring &amp; measurement:</t>
    </r>
    <r>
      <rPr>
        <sz val="11"/>
        <color theme="1"/>
        <rFont val="Aptos Narrow"/>
        <family val="2"/>
        <scheme val="minor"/>
      </rPr>
      <t xml:space="preserve"> Requires monitoring control effectiveness. </t>
    </r>
    <r>
      <rPr>
        <b/>
        <sz val="11"/>
        <color theme="1"/>
        <rFont val="Aptos Narrow"/>
        <family val="2"/>
        <scheme val="minor"/>
      </rPr>
      <t>8.1 – Operational control:</t>
    </r>
    <r>
      <rPr>
        <sz val="11"/>
        <color theme="1"/>
        <rFont val="Aptos Narrow"/>
        <family val="2"/>
        <scheme val="minor"/>
      </rPr>
      <t xml:space="preserve"> Controls must work across lifecycle. </t>
    </r>
    <r>
      <rPr>
        <b/>
        <sz val="11"/>
        <color theme="1"/>
        <rFont val="Aptos Narrow"/>
        <family val="2"/>
        <scheme val="minor"/>
      </rPr>
      <t>6.1 – Risk actions:</t>
    </r>
    <r>
      <rPr>
        <sz val="11"/>
        <color theme="1"/>
        <rFont val="Aptos Narrow"/>
        <family val="2"/>
        <scheme val="minor"/>
      </rPr>
      <t xml:space="preserve"> Monitoring must detect AI-specific threats.</t>
    </r>
  </si>
  <si>
    <r>
      <t>9.1 – Performance evaluation:</t>
    </r>
    <r>
      <rPr>
        <sz val="11"/>
        <color theme="1"/>
        <rFont val="Aptos Narrow"/>
        <family val="2"/>
        <scheme val="minor"/>
      </rPr>
      <t xml:space="preserve"> Monitoring effectiveness of security controls. </t>
    </r>
    <r>
      <rPr>
        <b/>
        <sz val="11"/>
        <color theme="1"/>
        <rFont val="Aptos Narrow"/>
        <family val="2"/>
        <scheme val="minor"/>
      </rPr>
      <t>6.1 – Risk treatment:</t>
    </r>
    <r>
      <rPr>
        <sz val="11"/>
        <color theme="1"/>
        <rFont val="Aptos Narrow"/>
        <family val="2"/>
        <scheme val="minor"/>
      </rPr>
      <t xml:space="preserve"> Monitoring aligned to risks.</t>
    </r>
  </si>
  <si>
    <r>
      <t>MEASURE 2.x – Monitor control effectiveness:</t>
    </r>
    <r>
      <rPr>
        <sz val="11"/>
        <color theme="1"/>
        <rFont val="Aptos Narrow"/>
        <family val="2"/>
        <scheme val="minor"/>
      </rPr>
      <t xml:space="preserve"> Requires telemetry &amp; anomaly detection. </t>
    </r>
    <r>
      <rPr>
        <b/>
        <sz val="11"/>
        <color theme="1"/>
        <rFont val="Aptos Narrow"/>
        <family val="2"/>
        <scheme val="minor"/>
      </rPr>
      <t>MANAGE 3.x – Risk response:</t>
    </r>
    <r>
      <rPr>
        <sz val="11"/>
        <color theme="1"/>
        <rFont val="Aptos Narrow"/>
        <family val="2"/>
        <scheme val="minor"/>
      </rPr>
      <t xml:space="preserve"> Monitoring outcomes drive actions.</t>
    </r>
  </si>
  <si>
    <r>
      <t>CA-7 – Continuous monitoring:</t>
    </r>
    <r>
      <rPr>
        <sz val="11"/>
        <color theme="1"/>
        <rFont val="Aptos Narrow"/>
        <family val="2"/>
        <scheme val="minor"/>
      </rPr>
      <t xml:space="preserve"> Direct alignment. </t>
    </r>
    <r>
      <rPr>
        <b/>
        <sz val="11"/>
        <color theme="1"/>
        <rFont val="Aptos Narrow"/>
        <family val="2"/>
        <scheme val="minor"/>
      </rPr>
      <t>SI-4 – System monitoring:</t>
    </r>
    <r>
      <rPr>
        <sz val="11"/>
        <color theme="1"/>
        <rFont val="Aptos Narrow"/>
        <family val="2"/>
        <scheme val="minor"/>
      </rPr>
      <t xml:space="preserve"> Detects adversarial activity. </t>
    </r>
    <r>
      <rPr>
        <b/>
        <sz val="11"/>
        <color theme="1"/>
        <rFont val="Aptos Narrow"/>
        <family val="2"/>
        <scheme val="minor"/>
      </rPr>
      <t>RA-5 – Vulnerability monitoring:</t>
    </r>
    <r>
      <rPr>
        <sz val="11"/>
        <color theme="1"/>
        <rFont val="Aptos Narrow"/>
        <family val="2"/>
        <scheme val="minor"/>
      </rPr>
      <t xml:space="preserve"> Includes drift/degradation detection.</t>
    </r>
  </si>
  <si>
    <t>Define measurable indicators for drift, adversarial probing, poisoning, extraction attempts, model degradation, misuse, and abnormal inference patterns. Must be monitored continuously.</t>
  </si>
  <si>
    <r>
      <t>9.1 – Monitoring:</t>
    </r>
    <r>
      <rPr>
        <sz val="11"/>
        <color theme="1"/>
        <rFont val="Aptos Narrow"/>
        <family val="2"/>
        <scheme val="minor"/>
      </rPr>
      <t xml:space="preserve"> Requires defining indicators &amp; metrics. </t>
    </r>
    <r>
      <rPr>
        <b/>
        <sz val="11"/>
        <color theme="1"/>
        <rFont val="Aptos Narrow"/>
        <family val="2"/>
        <scheme val="minor"/>
      </rPr>
      <t>6.2 – Security objectives:</t>
    </r>
    <r>
      <rPr>
        <sz val="11"/>
        <color theme="1"/>
        <rFont val="Aptos Narrow"/>
        <family val="2"/>
        <scheme val="minor"/>
      </rPr>
      <t xml:space="preserve"> Indicators support measurable goals.</t>
    </r>
  </si>
  <si>
    <r>
      <t>6.2 – Security objectives:</t>
    </r>
    <r>
      <rPr>
        <sz val="11"/>
        <color theme="1"/>
        <rFont val="Aptos Narrow"/>
        <family val="2"/>
        <scheme val="minor"/>
      </rPr>
      <t xml:space="preserve"> Requires measurable indicators. </t>
    </r>
    <r>
      <rPr>
        <b/>
        <sz val="11"/>
        <color theme="1"/>
        <rFont val="Aptos Narrow"/>
        <family val="2"/>
        <scheme val="minor"/>
      </rPr>
      <t>9.1 – Monitoring:</t>
    </r>
    <r>
      <rPr>
        <sz val="11"/>
        <color theme="1"/>
        <rFont val="Aptos Narrow"/>
        <family val="2"/>
        <scheme val="minor"/>
      </rPr>
      <t xml:space="preserve"> Continuous measurement.</t>
    </r>
  </si>
  <si>
    <r>
      <t>MEASURE 1.1 &amp; 2.x:</t>
    </r>
    <r>
      <rPr>
        <sz val="11"/>
        <color theme="1"/>
        <rFont val="Aptos Narrow"/>
        <family val="2"/>
        <scheme val="minor"/>
      </rPr>
      <t xml:space="preserve"> Defines security indicators tied to risk. </t>
    </r>
    <r>
      <rPr>
        <b/>
        <sz val="11"/>
        <color theme="1"/>
        <rFont val="Aptos Narrow"/>
        <family val="2"/>
        <scheme val="minor"/>
      </rPr>
      <t>MANAGE 2.1:</t>
    </r>
    <r>
      <rPr>
        <sz val="11"/>
        <color theme="1"/>
        <rFont val="Aptos Narrow"/>
        <family val="2"/>
        <scheme val="minor"/>
      </rPr>
      <t xml:space="preserve"> Indicators must align to risk levels.</t>
    </r>
  </si>
  <si>
    <r>
      <t>PM-6 – Metrics:</t>
    </r>
    <r>
      <rPr>
        <sz val="11"/>
        <color theme="1"/>
        <rFont val="Aptos Narrow"/>
        <family val="2"/>
        <scheme val="minor"/>
      </rPr>
      <t xml:space="preserve"> Requires defining performance metrics. </t>
    </r>
    <r>
      <rPr>
        <b/>
        <sz val="11"/>
        <color theme="1"/>
        <rFont val="Aptos Narrow"/>
        <family val="2"/>
        <scheme val="minor"/>
      </rPr>
      <t>SI-7 – Integrity controls:</t>
    </r>
    <r>
      <rPr>
        <sz val="11"/>
        <color theme="1"/>
        <rFont val="Aptos Narrow"/>
        <family val="2"/>
        <scheme val="minor"/>
      </rPr>
      <t xml:space="preserve"> Supports threat indicators. </t>
    </r>
    <r>
      <rPr>
        <b/>
        <sz val="11"/>
        <color theme="1"/>
        <rFont val="Aptos Narrow"/>
        <family val="2"/>
        <scheme val="minor"/>
      </rPr>
      <t>CA-7 – Continuous monitoring:</t>
    </r>
    <r>
      <rPr>
        <sz val="11"/>
        <color theme="1"/>
        <rFont val="Aptos Narrow"/>
        <family val="2"/>
        <scheme val="minor"/>
      </rPr>
      <t xml:space="preserve"> Tracks indicators.</t>
    </r>
  </si>
  <si>
    <t>Validate model integrity before deployment and during operations to detect tampering, corruption, adversarial interference, or supply-chain compromise. Includes validation of model weights, files, parameters, configs.</t>
  </si>
  <si>
    <r>
      <t>8.1 – Operational control:</t>
    </r>
    <r>
      <rPr>
        <sz val="11"/>
        <color theme="1"/>
        <rFont val="Aptos Narrow"/>
        <family val="2"/>
        <scheme val="minor"/>
      </rPr>
      <t xml:space="preserve"> Ensures model integrity protection. </t>
    </r>
    <r>
      <rPr>
        <b/>
        <sz val="11"/>
        <color theme="1"/>
        <rFont val="Aptos Narrow"/>
        <family val="2"/>
        <scheme val="minor"/>
      </rPr>
      <t>6.1 – Risk actions:</t>
    </r>
    <r>
      <rPr>
        <sz val="11"/>
        <color theme="1"/>
        <rFont val="Aptos Narrow"/>
        <family val="2"/>
        <scheme val="minor"/>
      </rPr>
      <t xml:space="preserve"> Integrity checks must address AI threats. </t>
    </r>
    <r>
      <rPr>
        <b/>
        <sz val="11"/>
        <color theme="1"/>
        <rFont val="Aptos Narrow"/>
        <family val="2"/>
        <scheme val="minor"/>
      </rPr>
      <t>9.1 – Monitoring:</t>
    </r>
    <r>
      <rPr>
        <sz val="11"/>
        <color theme="1"/>
        <rFont val="Aptos Narrow"/>
        <family val="2"/>
        <scheme val="minor"/>
      </rPr>
      <t xml:space="preserve"> Requires periodic validation.</t>
    </r>
  </si>
  <si>
    <r>
      <t>6.1 – Risk treatment:</t>
    </r>
    <r>
      <rPr>
        <sz val="11"/>
        <color theme="1"/>
        <rFont val="Aptos Narrow"/>
        <family val="2"/>
        <scheme val="minor"/>
      </rPr>
      <t xml:space="preserve"> Selecting integrity controls. </t>
    </r>
    <r>
      <rPr>
        <b/>
        <sz val="11"/>
        <color theme="1"/>
        <rFont val="Aptos Narrow"/>
        <family val="2"/>
        <scheme val="minor"/>
      </rPr>
      <t>9.1 – Monitoring:</t>
    </r>
    <r>
      <rPr>
        <sz val="11"/>
        <color theme="1"/>
        <rFont val="Aptos Narrow"/>
        <family val="2"/>
        <scheme val="minor"/>
      </rPr>
      <t xml:space="preserve"> Ongoing validation.</t>
    </r>
  </si>
  <si>
    <r>
      <t>MEASURE 1.1 – Identify integrity risks:</t>
    </r>
    <r>
      <rPr>
        <sz val="11"/>
        <color theme="1"/>
        <rFont val="Aptos Narrow"/>
        <family val="2"/>
        <scheme val="minor"/>
      </rPr>
      <t xml:space="preserve"> Includes tampering &amp; manipulation. </t>
    </r>
    <r>
      <rPr>
        <b/>
        <sz val="11"/>
        <color theme="1"/>
        <rFont val="Aptos Narrow"/>
        <family val="2"/>
        <scheme val="minor"/>
      </rPr>
      <t>MANAGE 2.x – Mitigation:</t>
    </r>
    <r>
      <rPr>
        <sz val="11"/>
        <color theme="1"/>
        <rFont val="Aptos Narrow"/>
        <family val="2"/>
        <scheme val="minor"/>
      </rPr>
      <t xml:space="preserve"> Apply integrity validation controls.</t>
    </r>
  </si>
  <si>
    <r>
      <t>SI-7 – Software/Model integrity:</t>
    </r>
    <r>
      <rPr>
        <sz val="11"/>
        <color theme="1"/>
        <rFont val="Aptos Narrow"/>
        <family val="2"/>
        <scheme val="minor"/>
      </rPr>
      <t xml:space="preserve"> Core mapping for detecting tampering/corruption. </t>
    </r>
    <r>
      <rPr>
        <b/>
        <sz val="11"/>
        <color theme="1"/>
        <rFont val="Aptos Narrow"/>
        <family val="2"/>
        <scheme val="minor"/>
      </rPr>
      <t>RA-5 – Vulnerability scanning:</t>
    </r>
    <r>
      <rPr>
        <sz val="11"/>
        <color theme="1"/>
        <rFont val="Aptos Narrow"/>
        <family val="2"/>
        <scheme val="minor"/>
      </rPr>
      <t xml:space="preserve"> Identifies weaknesses. </t>
    </r>
    <r>
      <rPr>
        <b/>
        <sz val="11"/>
        <color theme="1"/>
        <rFont val="Aptos Narrow"/>
        <family val="2"/>
        <scheme val="minor"/>
      </rPr>
      <t>SR-11 – Supply chain monitoring:</t>
    </r>
    <r>
      <rPr>
        <sz val="11"/>
        <color theme="1"/>
        <rFont val="Aptos Narrow"/>
        <family val="2"/>
        <scheme val="minor"/>
      </rPr>
      <t xml:space="preserve"> Covers external compromise.</t>
    </r>
  </si>
  <si>
    <t>Monitor how model performance changes (accuracy drops, instability, errors) indicate security risks (drift, poisoning, adversarial exploitation). Must link performance + security monitoring.</t>
  </si>
  <si>
    <r>
      <t>9.1 – Monitoring:</t>
    </r>
    <r>
      <rPr>
        <sz val="11"/>
        <color theme="1"/>
        <rFont val="Aptos Narrow"/>
        <family val="2"/>
        <scheme val="minor"/>
      </rPr>
      <t xml:space="preserve"> Requires correlation between performance and security metrics. </t>
    </r>
    <r>
      <rPr>
        <b/>
        <sz val="11"/>
        <color theme="1"/>
        <rFont val="Aptos Narrow"/>
        <family val="2"/>
        <scheme val="minor"/>
      </rPr>
      <t>6.1 – Risk actions:</t>
    </r>
    <r>
      <rPr>
        <sz val="11"/>
        <color theme="1"/>
        <rFont val="Aptos Narrow"/>
        <family val="2"/>
        <scheme val="minor"/>
      </rPr>
      <t xml:space="preserve"> Performance degradation treated as risk.</t>
    </r>
  </si>
  <si>
    <r>
      <t>9.1 – Monitoring:</t>
    </r>
    <r>
      <rPr>
        <sz val="11"/>
        <color theme="1"/>
        <rFont val="Aptos Narrow"/>
        <family val="2"/>
        <scheme val="minor"/>
      </rPr>
      <t xml:space="preserve"> Includes evaluating anomalies impacting security.</t>
    </r>
  </si>
  <si>
    <r>
      <t>MEASURE 2.x – Behavioral analysis:</t>
    </r>
    <r>
      <rPr>
        <sz val="11"/>
        <color theme="1"/>
        <rFont val="Aptos Narrow"/>
        <family val="2"/>
        <scheme val="minor"/>
      </rPr>
      <t xml:space="preserve"> Evaluates deviations as threats. </t>
    </r>
    <r>
      <rPr>
        <b/>
        <sz val="11"/>
        <color theme="1"/>
        <rFont val="Aptos Narrow"/>
        <family val="2"/>
        <scheme val="minor"/>
      </rPr>
      <t>MANAGE 3.x – Risk response:</t>
    </r>
    <r>
      <rPr>
        <sz val="11"/>
        <color theme="1"/>
        <rFont val="Aptos Narrow"/>
        <family val="2"/>
        <scheme val="minor"/>
      </rPr>
      <t xml:space="preserve"> Ensures remediation steps.</t>
    </r>
  </si>
  <si>
    <r>
      <t>RA-5 – Vulnerability monitoring:</t>
    </r>
    <r>
      <rPr>
        <sz val="11"/>
        <color theme="1"/>
        <rFont val="Aptos Narrow"/>
        <family val="2"/>
        <scheme val="minor"/>
      </rPr>
      <t xml:space="preserve"> Includes anomaly detection. </t>
    </r>
    <r>
      <rPr>
        <b/>
        <sz val="11"/>
        <color theme="1"/>
        <rFont val="Aptos Narrow"/>
        <family val="2"/>
        <scheme val="minor"/>
      </rPr>
      <t>SI-4 – System monitoring:</t>
    </r>
    <r>
      <rPr>
        <sz val="11"/>
        <color theme="1"/>
        <rFont val="Aptos Narrow"/>
        <family val="2"/>
        <scheme val="minor"/>
      </rPr>
      <t xml:space="preserve"> Detects abnormal behavior tied to security.</t>
    </r>
  </si>
  <si>
    <t>AI monitoring must generate timely alerts for poisoning, adversarial inputs, model drift, extraction attempts, prompt injection, jailbreak attempts, API abuse, unauthorized access. Escalation and response procedures required.</t>
  </si>
  <si>
    <r>
      <t>8.1 – Operational control:</t>
    </r>
    <r>
      <rPr>
        <sz val="11"/>
        <color theme="1"/>
        <rFont val="Aptos Narrow"/>
        <family val="2"/>
        <scheme val="minor"/>
      </rPr>
      <t xml:space="preserve"> Operational mechanisms for detection &amp; response. </t>
    </r>
    <r>
      <rPr>
        <b/>
        <sz val="11"/>
        <color theme="1"/>
        <rFont val="Aptos Narrow"/>
        <family val="2"/>
        <scheme val="minor"/>
      </rPr>
      <t>9.1 – Monitoring:</t>
    </r>
    <r>
      <rPr>
        <sz val="11"/>
        <color theme="1"/>
        <rFont val="Aptos Narrow"/>
        <family val="2"/>
        <scheme val="minor"/>
      </rPr>
      <t xml:space="preserve"> Alerts from monitoring. </t>
    </r>
    <r>
      <rPr>
        <b/>
        <sz val="11"/>
        <color theme="1"/>
        <rFont val="Aptos Narrow"/>
        <family val="2"/>
        <scheme val="minor"/>
      </rPr>
      <t>6.1 – Risk actions:</t>
    </r>
    <r>
      <rPr>
        <sz val="11"/>
        <color theme="1"/>
        <rFont val="Aptos Narrow"/>
        <family val="2"/>
        <scheme val="minor"/>
      </rPr>
      <t xml:space="preserve"> Alerts tied to risk.</t>
    </r>
  </si>
  <si>
    <r>
      <t>6.1 – Risk treatment:</t>
    </r>
    <r>
      <rPr>
        <sz val="11"/>
        <color theme="1"/>
        <rFont val="Aptos Narrow"/>
        <family val="2"/>
        <scheme val="minor"/>
      </rPr>
      <t xml:space="preserve"> Requires incident response controls. </t>
    </r>
    <r>
      <rPr>
        <b/>
        <sz val="11"/>
        <color theme="1"/>
        <rFont val="Aptos Narrow"/>
        <family val="2"/>
        <scheme val="minor"/>
      </rPr>
      <t>9.1 – Monitoring:</t>
    </r>
    <r>
      <rPr>
        <sz val="11"/>
        <color theme="1"/>
        <rFont val="Aptos Narrow"/>
        <family val="2"/>
        <scheme val="minor"/>
      </rPr>
      <t xml:space="preserve"> Alerts tied to metrics.</t>
    </r>
  </si>
  <si>
    <r>
      <t>MANAGE 3.x – Incident response:</t>
    </r>
    <r>
      <rPr>
        <sz val="11"/>
        <color theme="1"/>
        <rFont val="Aptos Narrow"/>
        <family val="2"/>
        <scheme val="minor"/>
      </rPr>
      <t xml:space="preserve"> Alerts initiate response actions. </t>
    </r>
    <r>
      <rPr>
        <b/>
        <sz val="11"/>
        <color theme="1"/>
        <rFont val="Aptos Narrow"/>
        <family val="2"/>
        <scheme val="minor"/>
      </rPr>
      <t>MEASURE 2.x – Detection:</t>
    </r>
    <r>
      <rPr>
        <sz val="11"/>
        <color theme="1"/>
        <rFont val="Aptos Narrow"/>
        <family val="2"/>
        <scheme val="minor"/>
      </rPr>
      <t xml:space="preserve"> Identifies anomalies requiring alerts.</t>
    </r>
  </si>
  <si>
    <r>
      <t>IR-4 – Incident handling:</t>
    </r>
    <r>
      <rPr>
        <sz val="11"/>
        <color theme="1"/>
        <rFont val="Aptos Narrow"/>
        <family val="2"/>
        <scheme val="minor"/>
      </rPr>
      <t xml:space="preserve"> Direct mapping. </t>
    </r>
    <r>
      <rPr>
        <b/>
        <sz val="11"/>
        <color theme="1"/>
        <rFont val="Aptos Narrow"/>
        <family val="2"/>
        <scheme val="minor"/>
      </rPr>
      <t>CA-7 – Monitoring:</t>
    </r>
    <r>
      <rPr>
        <sz val="11"/>
        <color theme="1"/>
        <rFont val="Aptos Narrow"/>
        <family val="2"/>
        <scheme val="minor"/>
      </rPr>
      <t xml:space="preserve"> Produces alerts. </t>
    </r>
    <r>
      <rPr>
        <b/>
        <sz val="11"/>
        <color theme="1"/>
        <rFont val="Aptos Narrow"/>
        <family val="2"/>
        <scheme val="minor"/>
      </rPr>
      <t>SI-4 – System monitoring:</t>
    </r>
    <r>
      <rPr>
        <sz val="11"/>
        <color theme="1"/>
        <rFont val="Aptos Narrow"/>
        <family val="2"/>
        <scheme val="minor"/>
      </rPr>
      <t xml:space="preserve"> Detects adversarial or malicious activity.</t>
    </r>
  </si>
  <si>
    <t>Maintain documented monitoring procedures, including scope, roles, thresholds, logs, alerting conditions, review cycles, and updates based on AI-specific risks and ecosystem changes.</t>
  </si>
  <si>
    <r>
      <t>7.5 – Documented information:</t>
    </r>
    <r>
      <rPr>
        <sz val="11"/>
        <color theme="1"/>
        <rFont val="Aptos Narrow"/>
        <family val="2"/>
        <scheme val="minor"/>
      </rPr>
      <t xml:space="preserve"> Requires maintaining updated documentation. </t>
    </r>
    <r>
      <rPr>
        <b/>
        <sz val="11"/>
        <color theme="1"/>
        <rFont val="Aptos Narrow"/>
        <family val="2"/>
        <scheme val="minor"/>
      </rPr>
      <t>9.1 – Monitoring:</t>
    </r>
    <r>
      <rPr>
        <sz val="11"/>
        <color theme="1"/>
        <rFont val="Aptos Narrow"/>
        <family val="2"/>
        <scheme val="minor"/>
      </rPr>
      <t xml:space="preserve"> Documentation defines monitoring methods. </t>
    </r>
    <r>
      <rPr>
        <b/>
        <sz val="11"/>
        <color theme="1"/>
        <rFont val="Aptos Narrow"/>
        <family val="2"/>
        <scheme val="minor"/>
      </rPr>
      <t>6.1 – Risk actions:</t>
    </r>
    <r>
      <rPr>
        <sz val="11"/>
        <color theme="1"/>
        <rFont val="Aptos Narrow"/>
        <family val="2"/>
        <scheme val="minor"/>
      </rPr>
      <t xml:space="preserve"> Documentation must reflect risk-based monitoring.</t>
    </r>
  </si>
  <si>
    <r>
      <t>7.5 – Documented information:</t>
    </r>
    <r>
      <rPr>
        <sz val="11"/>
        <color theme="1"/>
        <rFont val="Aptos Narrow"/>
        <family val="2"/>
        <scheme val="minor"/>
      </rPr>
      <t xml:space="preserve"> Requires formal monitoring procedures. </t>
    </r>
    <r>
      <rPr>
        <b/>
        <sz val="11"/>
        <color theme="1"/>
        <rFont val="Aptos Narrow"/>
        <family val="2"/>
        <scheme val="minor"/>
      </rPr>
      <t>9.1 – Monitoring evidence:</t>
    </r>
    <r>
      <rPr>
        <sz val="11"/>
        <color theme="1"/>
        <rFont val="Aptos Narrow"/>
        <family val="2"/>
        <scheme val="minor"/>
      </rPr>
      <t xml:space="preserve"> Documentation supports monitoring results.</t>
    </r>
  </si>
  <si>
    <r>
      <t>GOVERN 1.1 – Governance context:</t>
    </r>
    <r>
      <rPr>
        <sz val="11"/>
        <color theme="1"/>
        <rFont val="Aptos Narrow"/>
        <family val="2"/>
        <scheme val="minor"/>
      </rPr>
      <t xml:space="preserve"> Requires documented roles &amp; processes. </t>
    </r>
    <r>
      <rPr>
        <b/>
        <sz val="11"/>
        <color theme="1"/>
        <rFont val="Aptos Narrow"/>
        <family val="2"/>
        <scheme val="minor"/>
      </rPr>
      <t>MEASURE 2.x – Monitoring framework:</t>
    </r>
    <r>
      <rPr>
        <sz val="11"/>
        <color theme="1"/>
        <rFont val="Aptos Narrow"/>
        <family val="2"/>
        <scheme val="minor"/>
      </rPr>
      <t xml:space="preserve"> Documentation defines metrics, thresholds, procedures.</t>
    </r>
  </si>
  <si>
    <r>
      <t>PL-2 – Documented procedures:</t>
    </r>
    <r>
      <rPr>
        <sz val="11"/>
        <color theme="1"/>
        <rFont val="Aptos Narrow"/>
        <family val="2"/>
        <scheme val="minor"/>
      </rPr>
      <t xml:space="preserve"> Requires documented monitoring approaches. </t>
    </r>
    <r>
      <rPr>
        <b/>
        <sz val="11"/>
        <color theme="1"/>
        <rFont val="Aptos Narrow"/>
        <family val="2"/>
        <scheme val="minor"/>
      </rPr>
      <t>CA-7 – Continuous monitoring:</t>
    </r>
    <r>
      <rPr>
        <sz val="11"/>
        <color theme="1"/>
        <rFont val="Aptos Narrow"/>
        <family val="2"/>
        <scheme val="minor"/>
      </rPr>
      <t xml:space="preserve"> Requires monitoring plans. </t>
    </r>
    <r>
      <rPr>
        <b/>
        <sz val="11"/>
        <color theme="1"/>
        <rFont val="Aptos Narrow"/>
        <family val="2"/>
        <scheme val="minor"/>
      </rPr>
      <t>AU-6 – Logging documentation:</t>
    </r>
    <r>
      <rPr>
        <sz val="11"/>
        <color theme="1"/>
        <rFont val="Aptos Narrow"/>
        <family val="2"/>
        <scheme val="minor"/>
      </rPr>
      <t xml:space="preserve"> Supports logging requirements.</t>
    </r>
  </si>
  <si>
    <t>Identify AI-specific cybersecurity risks across the full AI lifecycle, including poisoning, drift, adversarial manipulation, inversion, extraction, prompt injection, unauthorized access, supply chain risks, and misuse. Consider vulnerabilities, dependencies, threat actors, external data, third-party models, and contextual factors.</t>
  </si>
  <si>
    <r>
      <t>6.1 – Risk identification:</t>
    </r>
    <r>
      <rPr>
        <sz val="11"/>
        <color theme="1"/>
        <rFont val="Aptos Narrow"/>
        <family val="2"/>
        <scheme val="minor"/>
      </rPr>
      <t xml:space="preserve"> Explicit requirement to identify AI-specific risks. </t>
    </r>
    <r>
      <rPr>
        <b/>
        <sz val="11"/>
        <color theme="1"/>
        <rFont val="Aptos Narrow"/>
        <family val="2"/>
        <scheme val="minor"/>
      </rPr>
      <t>8.1 – Operational controls:</t>
    </r>
    <r>
      <rPr>
        <sz val="11"/>
        <color theme="1"/>
        <rFont val="Aptos Narrow"/>
        <family val="2"/>
        <scheme val="minor"/>
      </rPr>
      <t xml:space="preserve"> Identifying threats and dependencies across lifecycle. </t>
    </r>
    <r>
      <rPr>
        <b/>
        <sz val="11"/>
        <color theme="1"/>
        <rFont val="Aptos Narrow"/>
        <family val="2"/>
        <scheme val="minor"/>
      </rPr>
      <t>5.3 – Governance roles:</t>
    </r>
    <r>
      <rPr>
        <sz val="11"/>
        <color theme="1"/>
        <rFont val="Aptos Narrow"/>
        <family val="2"/>
        <scheme val="minor"/>
      </rPr>
      <t xml:space="preserve"> Ensures responsibilities for risk identification.</t>
    </r>
  </si>
  <si>
    <r>
      <t>6.1.1 – Risk identification:</t>
    </r>
    <r>
      <rPr>
        <sz val="11"/>
        <color theme="1"/>
        <rFont val="Aptos Narrow"/>
        <family val="2"/>
        <scheme val="minor"/>
      </rPr>
      <t xml:space="preserve"> Direct mapping; must identify threats, vulnerabilities, and impacts.</t>
    </r>
  </si>
  <si>
    <r>
      <t>MAP 1.x – Understanding context:</t>
    </r>
    <r>
      <rPr>
        <sz val="11"/>
        <color theme="1"/>
        <rFont val="Aptos Narrow"/>
        <family val="2"/>
        <scheme val="minor"/>
      </rPr>
      <t xml:space="preserve"> Identify AI risks, actors, dependencies. </t>
    </r>
    <r>
      <rPr>
        <b/>
        <sz val="11"/>
        <color theme="1"/>
        <rFont val="Aptos Narrow"/>
        <family val="2"/>
        <scheme val="minor"/>
      </rPr>
      <t>MEASURE 1.1 – Identify risks:</t>
    </r>
    <r>
      <rPr>
        <sz val="11"/>
        <color theme="1"/>
        <rFont val="Aptos Narrow"/>
        <family val="2"/>
        <scheme val="minor"/>
      </rPr>
      <t xml:space="preserve"> Includes AI-specific threats (poisoning, drift, adversarial).</t>
    </r>
  </si>
  <si>
    <r>
      <t>RA-3 – Risk assessments:</t>
    </r>
    <r>
      <rPr>
        <sz val="11"/>
        <color theme="1"/>
        <rFont val="Aptos Narrow"/>
        <family val="2"/>
        <scheme val="minor"/>
      </rPr>
      <t xml:space="preserve"> Identify threats/vulnerabilities. </t>
    </r>
    <r>
      <rPr>
        <b/>
        <sz val="11"/>
        <color theme="1"/>
        <rFont val="Aptos Narrow"/>
        <family val="2"/>
        <scheme val="minor"/>
      </rPr>
      <t>PM-30 – Supply chain risk:</t>
    </r>
    <r>
      <rPr>
        <sz val="11"/>
        <color theme="1"/>
        <rFont val="Aptos Narrow"/>
        <family val="2"/>
        <scheme val="minor"/>
      </rPr>
      <t xml:space="preserve"> Supports identifying external dependencies. </t>
    </r>
    <r>
      <rPr>
        <b/>
        <sz val="11"/>
        <color theme="1"/>
        <rFont val="Aptos Narrow"/>
        <family val="2"/>
        <scheme val="minor"/>
      </rPr>
      <t>SR-2 – Supply chain threats:</t>
    </r>
    <r>
      <rPr>
        <sz val="11"/>
        <color theme="1"/>
        <rFont val="Aptos Narrow"/>
        <family val="2"/>
        <scheme val="minor"/>
      </rPr>
      <t xml:space="preserve"> Aligns with model/dataset supply chain risks.</t>
    </r>
  </si>
  <si>
    <t>Analyze identified AI risks for likelihood, impact, exploitability, relevance, and effect on confidentiality, integrity, availability, safety, and trustworthiness. Consider AI-specific weaknesses such as adversarial susceptibility, poisoned data, generalization errors, exposure of sensitive data, and dependency failure.</t>
  </si>
  <si>
    <r>
      <t>6.1 – Risk analysis:</t>
    </r>
    <r>
      <rPr>
        <sz val="11"/>
        <color theme="1"/>
        <rFont val="Aptos Narrow"/>
        <family val="2"/>
        <scheme val="minor"/>
      </rPr>
      <t xml:space="preserve"> Requires evaluating likelihood and consequences. </t>
    </r>
    <r>
      <rPr>
        <b/>
        <sz val="11"/>
        <color theme="1"/>
        <rFont val="Aptos Narrow"/>
        <family val="2"/>
        <scheme val="minor"/>
      </rPr>
      <t>8.1 – Operational controls:</t>
    </r>
    <r>
      <rPr>
        <sz val="11"/>
        <color theme="1"/>
        <rFont val="Aptos Narrow"/>
        <family val="2"/>
        <scheme val="minor"/>
      </rPr>
      <t xml:space="preserve"> Analysis tied to lifecycle impacts.</t>
    </r>
  </si>
  <si>
    <r>
      <t>6.1.2 – Risk analysis:</t>
    </r>
    <r>
      <rPr>
        <sz val="11"/>
        <color theme="1"/>
        <rFont val="Aptos Narrow"/>
        <family val="2"/>
        <scheme val="minor"/>
      </rPr>
      <t xml:space="preserve"> Analyze likelihood and impact. </t>
    </r>
    <r>
      <rPr>
        <b/>
        <sz val="11"/>
        <color theme="1"/>
        <rFont val="Aptos Narrow"/>
        <family val="2"/>
        <scheme val="minor"/>
      </rPr>
      <t>6.1 – Risk treatment basis:</t>
    </r>
    <r>
      <rPr>
        <sz val="11"/>
        <color theme="1"/>
        <rFont val="Aptos Narrow"/>
        <family val="2"/>
        <scheme val="minor"/>
      </rPr>
      <t xml:space="preserve"> Includes understanding vulnerabilities.</t>
    </r>
  </si>
  <si>
    <r>
      <t>MEASURE 1.1 &amp; 1.2:</t>
    </r>
    <r>
      <rPr>
        <sz val="11"/>
        <color theme="1"/>
        <rFont val="Aptos Narrow"/>
        <family val="2"/>
        <scheme val="minor"/>
      </rPr>
      <t xml:space="preserve"> Analyze risk impact and likelihood. </t>
    </r>
    <r>
      <rPr>
        <b/>
        <sz val="11"/>
        <color theme="1"/>
        <rFont val="Aptos Narrow"/>
        <family val="2"/>
        <scheme val="minor"/>
      </rPr>
      <t>MANAGE 1.x:</t>
    </r>
    <r>
      <rPr>
        <sz val="11"/>
        <color theme="1"/>
        <rFont val="Aptos Narrow"/>
        <family val="2"/>
        <scheme val="minor"/>
      </rPr>
      <t xml:space="preserve"> Frame severity of AI failures including trustworthiness.</t>
    </r>
  </si>
  <si>
    <r>
      <t>RA-3 – Risk assessments:</t>
    </r>
    <r>
      <rPr>
        <sz val="11"/>
        <color theme="1"/>
        <rFont val="Aptos Narrow"/>
        <family val="2"/>
        <scheme val="minor"/>
      </rPr>
      <t xml:space="preserve"> Analyze impacts and likelihood. </t>
    </r>
    <r>
      <rPr>
        <b/>
        <sz val="11"/>
        <color theme="1"/>
        <rFont val="Aptos Narrow"/>
        <family val="2"/>
        <scheme val="minor"/>
      </rPr>
      <t>RA-5 – Vulnerability assessment:</t>
    </r>
    <r>
      <rPr>
        <sz val="11"/>
        <color theme="1"/>
        <rFont val="Aptos Narrow"/>
        <family val="2"/>
        <scheme val="minor"/>
      </rPr>
      <t xml:space="preserve"> Includes exploitability analysis. </t>
    </r>
    <r>
      <rPr>
        <b/>
        <sz val="11"/>
        <color theme="1"/>
        <rFont val="Aptos Narrow"/>
        <family val="2"/>
        <scheme val="minor"/>
      </rPr>
      <t>SI-5 – Security functionality:</t>
    </r>
    <r>
      <rPr>
        <sz val="11"/>
        <color theme="1"/>
        <rFont val="Aptos Narrow"/>
        <family val="2"/>
        <scheme val="minor"/>
      </rPr>
      <t xml:space="preserve"> Relates to model behavioral weaknesses.</t>
    </r>
  </si>
  <si>
    <t>Evaluate analyzed AI risks to determine acceptability, treatment needs, and monitoring requirements. Compare against AI-specific risk criteria, appetite, regulatory obligations, and stakeholder expectations. Includes evaluation of impacts on privacy, safety, trustworthiness, and security.</t>
  </si>
  <si>
    <r>
      <t>6.1 – Risk evaluation:</t>
    </r>
    <r>
      <rPr>
        <sz val="11"/>
        <color theme="1"/>
        <rFont val="Aptos Narrow"/>
        <family val="2"/>
        <scheme val="minor"/>
      </rPr>
      <t xml:space="preserve"> Evaluate analyzed risks against criteria. </t>
    </r>
    <r>
      <rPr>
        <b/>
        <sz val="11"/>
        <color theme="1"/>
        <rFont val="Aptos Narrow"/>
        <family val="2"/>
        <scheme val="minor"/>
      </rPr>
      <t>5.3 – Governance:</t>
    </r>
    <r>
      <rPr>
        <sz val="11"/>
        <color theme="1"/>
        <rFont val="Aptos Narrow"/>
        <family val="2"/>
        <scheme val="minor"/>
      </rPr>
      <t xml:space="preserve"> Align evaluation with risk appetite.</t>
    </r>
  </si>
  <si>
    <r>
      <t>6.1.3 – Risk evaluation:</t>
    </r>
    <r>
      <rPr>
        <sz val="11"/>
        <color theme="1"/>
        <rFont val="Aptos Narrow"/>
        <family val="2"/>
        <scheme val="minor"/>
      </rPr>
      <t xml:space="preserve"> Decide which risks are acceptable or need treatment.</t>
    </r>
  </si>
  <si>
    <r>
      <t>MAP 3.x – Risk prioritization:</t>
    </r>
    <r>
      <rPr>
        <sz val="11"/>
        <color theme="1"/>
        <rFont val="Aptos Narrow"/>
        <family val="2"/>
        <scheme val="minor"/>
      </rPr>
      <t xml:space="preserve"> Establish thresholds and criteria. </t>
    </r>
    <r>
      <rPr>
        <b/>
        <sz val="11"/>
        <color theme="1"/>
        <rFont val="Aptos Narrow"/>
        <family val="2"/>
        <scheme val="minor"/>
      </rPr>
      <t>MANAGE 2.x – Evaluate options:</t>
    </r>
    <r>
      <rPr>
        <sz val="11"/>
        <color theme="1"/>
        <rFont val="Aptos Narrow"/>
        <family val="2"/>
        <scheme val="minor"/>
      </rPr>
      <t xml:space="preserve"> Support risk decision-making.</t>
    </r>
  </si>
  <si>
    <r>
      <t>RA-3 – Evaluate risks:</t>
    </r>
    <r>
      <rPr>
        <sz val="11"/>
        <color theme="1"/>
        <rFont val="Aptos Narrow"/>
        <family val="2"/>
        <scheme val="minor"/>
      </rPr>
      <t xml:space="preserve"> Decide acceptability. </t>
    </r>
    <r>
      <rPr>
        <b/>
        <sz val="11"/>
        <color theme="1"/>
        <rFont val="Aptos Narrow"/>
        <family val="2"/>
        <scheme val="minor"/>
      </rPr>
      <t>PM-9 – Risk management strategy:</t>
    </r>
    <r>
      <rPr>
        <sz val="11"/>
        <color theme="1"/>
        <rFont val="Aptos Narrow"/>
        <family val="2"/>
        <scheme val="minor"/>
      </rPr>
      <t xml:space="preserve"> Defines criteria and appetite.</t>
    </r>
  </si>
  <si>
    <t>Select and apply AI-specific cybersecurity controls to reduce risks to acceptable levels. Treatment may include mitigation, reduction, transfer, avoidance, or acceptance. Controls must address poisoning, adversarial attacks, drift, inversion, extraction, prompt injection, supply chain vulnerabilities, and unauthorized access. Plans must include actions, roles, timelines, and expected results.</t>
  </si>
  <si>
    <r>
      <t>6.1 – Risk treatment planning:</t>
    </r>
    <r>
      <rPr>
        <sz val="11"/>
        <color theme="1"/>
        <rFont val="Aptos Narrow"/>
        <family val="2"/>
        <scheme val="minor"/>
      </rPr>
      <t xml:space="preserve"> Select controls based on AI-specific risks. </t>
    </r>
    <r>
      <rPr>
        <b/>
        <sz val="11"/>
        <color theme="1"/>
        <rFont val="Aptos Narrow"/>
        <family val="2"/>
        <scheme val="minor"/>
      </rPr>
      <t>8.1 – Operational control design:</t>
    </r>
    <r>
      <rPr>
        <sz val="11"/>
        <color theme="1"/>
        <rFont val="Aptos Narrow"/>
        <family val="2"/>
        <scheme val="minor"/>
      </rPr>
      <t xml:space="preserve"> Implement controls across lifecycle. </t>
    </r>
    <r>
      <rPr>
        <b/>
        <sz val="11"/>
        <color theme="1"/>
        <rFont val="Aptos Narrow"/>
        <family val="2"/>
        <scheme val="minor"/>
      </rPr>
      <t>A-Annex (AI controls):</t>
    </r>
    <r>
      <rPr>
        <sz val="11"/>
        <color theme="1"/>
        <rFont val="Aptos Narrow"/>
        <family val="2"/>
        <scheme val="minor"/>
      </rPr>
      <t xml:space="preserve"> Aligns treatment with technical safeguards.</t>
    </r>
  </si>
  <si>
    <r>
      <t>6.1.3 – Risk treatment:</t>
    </r>
    <r>
      <rPr>
        <sz val="11"/>
        <color theme="1"/>
        <rFont val="Aptos Narrow"/>
        <family val="2"/>
        <scheme val="minor"/>
      </rPr>
      <t xml:space="preserve"> Select controls and define risk treatment plan. </t>
    </r>
    <r>
      <rPr>
        <b/>
        <sz val="11"/>
        <color theme="1"/>
        <rFont val="Aptos Narrow"/>
        <family val="2"/>
        <scheme val="minor"/>
      </rPr>
      <t>Annex A:</t>
    </r>
    <r>
      <rPr>
        <sz val="11"/>
        <color theme="1"/>
        <rFont val="Aptos Narrow"/>
        <family val="2"/>
        <scheme val="minor"/>
      </rPr>
      <t xml:space="preserve"> Technical and procedural control mappings.</t>
    </r>
  </si>
  <si>
    <r>
      <t>MANAGE 2.x – Treat risks:</t>
    </r>
    <r>
      <rPr>
        <sz val="11"/>
        <color theme="1"/>
        <rFont val="Aptos Narrow"/>
        <family val="2"/>
        <scheme val="minor"/>
      </rPr>
      <t xml:space="preserve"> Apply mitigations based on AI-specific threats. </t>
    </r>
    <r>
      <rPr>
        <b/>
        <sz val="11"/>
        <color theme="1"/>
        <rFont val="Aptos Narrow"/>
        <family val="2"/>
        <scheme val="minor"/>
      </rPr>
      <t>GOVERN 3.x – Oversight:</t>
    </r>
    <r>
      <rPr>
        <sz val="11"/>
        <color theme="1"/>
        <rFont val="Aptos Narrow"/>
        <family val="2"/>
        <scheme val="minor"/>
      </rPr>
      <t xml:space="preserve"> Ensure resources and accountability.</t>
    </r>
  </si>
  <si>
    <r>
      <t>RA-7 – Risk response:</t>
    </r>
    <r>
      <rPr>
        <sz val="11"/>
        <color theme="1"/>
        <rFont val="Aptos Narrow"/>
        <family val="2"/>
        <scheme val="minor"/>
      </rPr>
      <t xml:space="preserve"> Treat risks through mitigation/avoidance/transfer. </t>
    </r>
    <r>
      <rPr>
        <b/>
        <sz val="11"/>
        <color theme="1"/>
        <rFont val="Aptos Narrow"/>
        <family val="2"/>
        <scheme val="minor"/>
      </rPr>
      <t>SI-4 – Monitoring (adversarial detection):</t>
    </r>
    <r>
      <rPr>
        <sz val="11"/>
        <color theme="1"/>
        <rFont val="Aptos Narrow"/>
        <family val="2"/>
        <scheme val="minor"/>
      </rPr>
      <t xml:space="preserve"> Supports treatment actions. </t>
    </r>
    <r>
      <rPr>
        <b/>
        <sz val="11"/>
        <color theme="1"/>
        <rFont val="Aptos Narrow"/>
        <family val="2"/>
        <scheme val="minor"/>
      </rPr>
      <t>SR-3/5/11 – Supply chain controls:</t>
    </r>
    <r>
      <rPr>
        <sz val="11"/>
        <color theme="1"/>
        <rFont val="Aptos Narrow"/>
        <family val="2"/>
        <scheme val="minor"/>
      </rPr>
      <t xml:space="preserve"> Treatment for model/data dependencies.</t>
    </r>
  </si>
  <si>
    <t>Formally accept residual AI cybersecurity risks after treatment, ensuring they fall within risk appetite and tolerance. Acceptance must be justified, documented, approved, and reviewed. Some high-impact AI risks (drift, adversarial exposure, data leakage, misuse) require strong justification before acceptance.</t>
  </si>
  <si>
    <r>
      <t>6.1 – Risk acceptance:</t>
    </r>
    <r>
      <rPr>
        <sz val="11"/>
        <color theme="1"/>
        <rFont val="Aptos Narrow"/>
        <family val="2"/>
        <scheme val="minor"/>
      </rPr>
      <t xml:space="preserve"> Requires documentation and approval. </t>
    </r>
    <r>
      <rPr>
        <b/>
        <sz val="11"/>
        <color theme="1"/>
        <rFont val="Aptos Narrow"/>
        <family val="2"/>
        <scheme val="minor"/>
      </rPr>
      <t>5.3 – Governance:</t>
    </r>
    <r>
      <rPr>
        <sz val="11"/>
        <color theme="1"/>
        <rFont val="Aptos Narrow"/>
        <family val="2"/>
        <scheme val="minor"/>
      </rPr>
      <t xml:space="preserve"> Roles and responsibilities in risk acceptance.</t>
    </r>
  </si>
  <si>
    <r>
      <t>6.1.3(d) – Risk acceptance:</t>
    </r>
    <r>
      <rPr>
        <sz val="11"/>
        <color theme="1"/>
        <rFont val="Aptos Narrow"/>
        <family val="2"/>
        <scheme val="minor"/>
      </rPr>
      <t xml:space="preserve"> Must document justification and approvals.</t>
    </r>
  </si>
  <si>
    <r>
      <t>MANAGE 3.x – Residual risk acceptance:</t>
    </r>
    <r>
      <rPr>
        <sz val="11"/>
        <color theme="1"/>
        <rFont val="Aptos Narrow"/>
        <family val="2"/>
        <scheme val="minor"/>
      </rPr>
      <t xml:space="preserve"> Determine acceptable residual risk. </t>
    </r>
    <r>
      <rPr>
        <b/>
        <sz val="11"/>
        <color theme="1"/>
        <rFont val="Aptos Narrow"/>
        <family val="2"/>
        <scheme val="minor"/>
      </rPr>
      <t>GOVERN 1.3 – Accountability:</t>
    </r>
    <r>
      <rPr>
        <sz val="11"/>
        <color theme="1"/>
        <rFont val="Aptos Narrow"/>
        <family val="2"/>
        <scheme val="minor"/>
      </rPr>
      <t xml:space="preserve"> Approval must be formal.</t>
    </r>
  </si>
  <si>
    <r>
      <t>RA-8 – Risk acceptance:</t>
    </r>
    <r>
      <rPr>
        <sz val="11"/>
        <color theme="1"/>
        <rFont val="Aptos Narrow"/>
        <family val="2"/>
        <scheme val="minor"/>
      </rPr>
      <t xml:space="preserve"> Formal approved acceptance process. </t>
    </r>
    <r>
      <rPr>
        <b/>
        <sz val="11"/>
        <color theme="1"/>
        <rFont val="Aptos Narrow"/>
        <family val="2"/>
        <scheme val="minor"/>
      </rPr>
      <t>PM-9 – Risk management strategy:</t>
    </r>
    <r>
      <rPr>
        <sz val="11"/>
        <color theme="1"/>
        <rFont val="Aptos Narrow"/>
        <family val="2"/>
        <scheme val="minor"/>
      </rPr>
      <t xml:space="preserve"> Defines tolerance and criteria for acceptance.</t>
    </r>
  </si>
  <si>
    <t>Domain 5 — Data Security &amp; Poisoning Protection</t>
  </si>
  <si>
    <t>A.5.15 – Access controlA.5.16 – Identity managementA.5.17 – Authentication information (MFA)A.5.18 – Access rights (RBAC)A.5.19 – Access provisioning</t>
  </si>
  <si>
    <t>A.8.9 Configuration management, A.5.15 Access control</t>
  </si>
  <si>
    <t>A.8.28 – Secure coding (secure pipeline components)A.8.27 – Secure system architecture &amp; engineering (protect pipeline flows)A.8.9 – Secure configuration (hardened pipeline components)A.8.24 – Cryptographic controls (encrypt pipeline data)A.8.16 – Monitoring activities</t>
  </si>
  <si>
    <t>No direct control</t>
  </si>
  <si>
    <t>A.8.16 Monitoring activities</t>
  </si>
  <si>
    <t>A.8.16 Monitoring activities, A.5.7 Threat intelligence</t>
  </si>
  <si>
    <t>A.8.9 Configuration management</t>
  </si>
  <si>
    <t>A.8.31 Separation of development, test and production environments</t>
  </si>
  <si>
    <t>A.8.31 Separation of environments</t>
  </si>
  <si>
    <t>A.8.32 Change management, A.8.9 Configuration management</t>
  </si>
  <si>
    <t>A.8.10 Information deletion, A.8.9 Configuration management, A.5.16 Identity management</t>
  </si>
  <si>
    <t>A.8.31 Separation of development, test and production environments, A.8.32 Change management, A.8.9 Configuration management</t>
  </si>
  <si>
    <t>A.8.10 Information deletion, A.8.9 Configuration management, A.8.16 Monitoring activities, A.5.16 Identity management</t>
  </si>
  <si>
    <t>A.8.24 Use of cryptography, A.8.23 Information security for use of cloud services, A.5.16 Identity management, A.8.12 Data leakage prevention</t>
  </si>
  <si>
    <t>A.8.4 Access control, A.8.5 Authentication, A.5.16 Identity management</t>
  </si>
  <si>
    <t>A.8.25 Secure development life cycle, A.8.16 Monitoring activities</t>
  </si>
  <si>
    <t>A.8.12 Data leakage prevention, A.8.16 Monitoring activities, A.8.25 Secure development life cycle</t>
  </si>
  <si>
    <t>A.8.25 Secure development life cycle, A.8.14 Test information protection, A.8.16 Monitoring activities, A.5.7 Threat intelligence</t>
  </si>
  <si>
    <t>A.8.12 Data leakage prevention, A.8.16 Monitoring activities, A.5.4 Information security policy</t>
  </si>
  <si>
    <t>A.8.25 Secure development life cycle, A.8.14 Test information protection, A.8.16 Monitoring activities</t>
  </si>
  <si>
    <t>A.8.4 Access control, A.8.5 Authentication, A.8.16 Monitoring activities, A.8.24 Use of cryptography, A.8.31 Separation of environments</t>
  </si>
  <si>
    <t>A.8.31 Separation of environments, A.8.9 Configuration management, A.8.19 Technical vulnerability management, A.8.2 Information classification</t>
  </si>
  <si>
    <t>A.8.16 Monitoring activities, A.8.31 Separation of environments, A.8.6 Capacity management, A.8.4 Access control</t>
  </si>
  <si>
    <t>A.8.31 Separation of environments, A.8.4 Access control, A.8.9 Configuration management, A.8.16 Monitoring activities</t>
  </si>
  <si>
    <t>A.8.31 Separation of environments, A.8.9 Configuration management, A.8.4 Access control</t>
  </si>
  <si>
    <t>A.8.26 Application security requirements, A.8.25 Secure development life cycle, A.8.31 Separation of environments</t>
  </si>
  <si>
    <t>A.8.25 Secure development life cycle, A.8.26 Application security requirements, A.5.21 Management of information security in supplier relationships</t>
  </si>
  <si>
    <t>A.5.21 Management of information security in supplier relationships, A.5.22 Monitoring and review of supplier services</t>
  </si>
  <si>
    <t>A.8.9 Configuration management, A.8.10 Information deletion, A.5.9 Inventory of information and other associated assets</t>
  </si>
  <si>
    <t>A.8.25 Secure development life cycle, A.8.19 Technical vulnerability management, A.5.21 Management of supplier relationships</t>
  </si>
  <si>
    <t>A.8.25 Secure development life cycle, A.8.14 Protection of information during test, A.8.16 Monitoring activities</t>
  </si>
  <si>
    <t>A.8.25 Secure development life cycle, A.8.4 Access control, A.8.14 Protection of info during test, A.8.16 Monitoring activities, A.8.12 Data leakage prevention</t>
  </si>
  <si>
    <t>A.8.25 Secure development life cycle, A.8.14 Protection of information during test, A.8.16 Monitoring activities, A.8.12 Data leakage prevention</t>
  </si>
  <si>
    <t>A.8.16 Monitoring activities, A.8.12 Data leakage prevention, A.8.28 Secure coding</t>
  </si>
  <si>
    <t>A.8.16 Monitoring activities, A.8.10 Information deletion, A.5.4 Information security policy</t>
  </si>
  <si>
    <t>A.5.1 Information security policy, A.8.25 Secure development life cycle, A.8.16 Monitoring activities, A.8.12 Data leakage prevention</t>
  </si>
  <si>
    <t>A.8.12 Data leakage prevention, A.8.31 Separation of environments, A.8.25 Secure development life cycle, A.8.8 Management of technical vulnerabilities</t>
  </si>
  <si>
    <t>A.8.16 Monitoring activities, A.8.31 Separation of environments</t>
  </si>
  <si>
    <t>A.8.16 Monitoring activities, A.8.25 Secure development life cycle, A.5.7 Threat intelligence</t>
  </si>
  <si>
    <t>A.8.16 Monitoring activities, A.8.9 Configuration management</t>
  </si>
  <si>
    <t>A.8.16 Monitoring activities, A.8.32 Change management, A.8.31 Separation of development, test and production environments</t>
  </si>
  <si>
    <t>A.5.26 Response to information security incidents, A.8.16 Monitoring activities</t>
  </si>
  <si>
    <t>A.8.16 Monitoring activities, A.8.9 Configuration management, A.8.10 Information deletion, A.5.26 Response to information security incidents, A.5.28 Collection of evidence</t>
  </si>
  <si>
    <t>A.5.27 Learning from information security incidents, A.5.26 Response to information security incidents, A.8.16 Monitoring activities</t>
  </si>
  <si>
    <t>A.8.4 Access control, A.8.7 Protection against malware, A.8.9 Configuration management, A.8.24 Use of cryptography</t>
  </si>
  <si>
    <t>A.8.10 Information deletion, A.8.9 Configuration management</t>
  </si>
  <si>
    <t>A.8.4 Access control, A.5.16 Identity management, A.8.9 Configuration management, A.8.12 Data leakage prevention</t>
  </si>
  <si>
    <t>A.8.12 Data leakage prevention, A.8.8 Management of technical vulnerabilities, A.8.16 Monitoring activities, A.8.25 Secure development life cycle</t>
  </si>
  <si>
    <t>A.8.24 Use of cryptography, A.8.4 Access control, A.8.16 Monitoring activities, A.8.13 Information backup</t>
  </si>
  <si>
    <t>A.5.32 Compliance with legal and contractual requirements, A.8.10 Information deletion, A.5.13 Labelling of information</t>
  </si>
  <si>
    <t>A.5.13 Labelling of information, A.8.12 Data leakage prevention, A.8.31 Separation of environments, A.8.25 Secure development life cycle</t>
  </si>
  <si>
    <t>A.8.12 Data leakage prevention, A.8.31 Separation of environments, A.8.25 Secure development life cycle</t>
  </si>
  <si>
    <t>A.8.31 Separation of environments, A.8.9 Configuration management, A.8.16 Monitoring activities, A.8.24 Use of cryptography, A.8.12 Data leakage prevention</t>
  </si>
  <si>
    <t>A.8.4 Access control, A.8.24 Use of cryptography, A.8.12 Data leakage prevention, A.8.31 Separation of environments</t>
  </si>
  <si>
    <t>A.8.9 Configuration management, A.8.32 Change management, A.8.31 Separation of environments</t>
  </si>
  <si>
    <t>A.5.7 Threat intelligence
A.5.15 Access control
A.8.12 Data leakage prevention
A.8.16 Monitoring activities</t>
  </si>
  <si>
    <t>A.8.11 Data masking, A.8.12 Data leakage prevention, A.8.16 Monitoring activities</t>
  </si>
  <si>
    <t>A.5.13 Labelling of information, A.8.12 Data leakage prevention, A.8.16 Monitoring activities</t>
  </si>
  <si>
    <t>A.8.32 Change management, A.8.9 Configuration management, A.8.31 Separation of development, test and production environments</t>
  </si>
  <si>
    <t>A.8.16 Monitoring activities, A.8.31 Separation of development, test and production environments</t>
  </si>
  <si>
    <t>A.8.24 Use of cryptography, A.8.12 Data leakage prevention, A.8.25 Secure development life cycle</t>
  </si>
  <si>
    <t>A.8.9 Configuration management, A.8.12 Data leakage prevention, A.8.16 Monitoring activities, A.5.15 Access control</t>
  </si>
  <si>
    <t>A.8.25 Secure development life cycle, A.8.31 Separation of development, test and production environments</t>
  </si>
  <si>
    <t>A.8.16 Monitoring activities, A.5.26 Response to information security incidents</t>
  </si>
  <si>
    <t>A.8.6 Capacity management, A.8.14 Redundancy of information processing facilities</t>
  </si>
  <si>
    <t>A.8.25 Secure development life cycle, A.8.11 Data masking</t>
  </si>
  <si>
    <t>A.8.16 Monitoring activities, A.8.32 Change management</t>
  </si>
  <si>
    <t>A.5.26 Response to information security incidents, A.5.27 Learning from information security incidents</t>
  </si>
  <si>
    <t>A.5.26 Response to information security incidents, A.5.27 Learning from information security incidents, A.8.16 Monitoring activities</t>
  </si>
  <si>
    <t>A.5.27 Learning from information security incidents, A.8.16 Monitoring activities</t>
  </si>
  <si>
    <t>A.5.26 Response to information security incidents, A.5.27 Learning from information security incidents, A.8.13 Information backup, A.8.16 Monitoring activities</t>
  </si>
  <si>
    <t>A.5.30 Business continuity planning and procedures, A.8.6 Capacity management, A.8.14 Redundancy of information processing facilities</t>
  </si>
  <si>
    <t>A.5.27 Learning from information security incidents, A.8.16 Monitoring activities, A.8.32 Change management</t>
  </si>
  <si>
    <t>A.6.2.4 AI system verification and validation • A.6.2.6 AI system operation and monitoring</t>
  </si>
  <si>
    <t>A.7.4 Quality of data for AI systems • A.7.2 Data for development and enhancement of AI system • A.7.6 Data preparation • A.6.2.4 AI system verification and validation</t>
  </si>
  <si>
    <t>A.7.2 Data for development and enhancement of AI system • A.7.5 Data provenance • A.6.2.6 AI system operation and monitoring • A.6.2.8 AI system recording of event logs</t>
  </si>
  <si>
    <t>A.7.4 Quality of data for AI systems • A.6.2.6 AI system operation and monitoring • A.6.2.8 AI system recording of event logs</t>
  </si>
  <si>
    <t>A.7.2 Data for development and enhancement of AI system • A.4.4 Tooling resources • A.4.5 System and computing resources • A.6.2.6 AI system operation and monitoring • A.6.2.8 AI system recording of event logs</t>
  </si>
  <si>
    <t>A.7.2 Data for development and enhancement of AI system • A.9.2 Processes for responsible use of AI systems • A.3.2 AI roles and responsibilities</t>
  </si>
  <si>
    <t>A.6.2.6 AI system operation and monitoring • A.6.2.8 AI system recording of event logs • A.6.1.3 Processes for responsible AI system design and development</t>
  </si>
  <si>
    <t>A.6.1.3 Processes for responsible AI system design and development • A.6.1.2 Objectives for responsible development of AI system • A.6.2.3 Documentation of AI system design and development</t>
  </si>
  <si>
    <t>A.6.2.4 AI system verification and validation • A.6.2.6 AI system operation and monitoring • A.6.2.3 Documentation of AI system design and development</t>
  </si>
  <si>
    <t>A.6.1.3 Processes for responsible AI system design and development • A.9.2 Processes for responsible use of AI systems • A.6.2.6 AI system operation and monitoring</t>
  </si>
  <si>
    <t>A.6.2.6 AI system operation and monitoring • A.6.2.8 AI system recording of event logs • A.5.4 Assessing AI system impact on individuals or groups of individuals • A.5.5 Assessing societal impacts of AI systems</t>
  </si>
  <si>
    <t>A.4.5 System and computing resources • A.6.2.4 AI system verification and validation • A.6.2.5 AI system deployment • A.6.2.6 AI system operation and monitoring</t>
  </si>
  <si>
    <t>A.4.4 Tooling resources • A.4.5 System and computing resources • A.6.2.3 Documentation of AI system design and development • A.6.2.8 AI system recording of event logs • A.6.2.6 AI system operation and monitoring</t>
  </si>
  <si>
    <t>A.6.2.3 Documentation of AI system design and development • A.6.2.4 AI system verification and validation • A.6.2.5 AI system deployment • A.6.2.6 AI system operation and monitoring</t>
  </si>
  <si>
    <t>A.6.2.5 AI system deployment • A.6.2.4 AI system verification and validation • A.4.4 Tooling resources • A.4.5 System and computing resources</t>
  </si>
  <si>
    <t>A.6.2.6 AI system operation and monitoring • A.6.2.8 AI system recording of event logs • A.4.5 System and computing resources • A.3.2 AI roles and responsibilities</t>
  </si>
  <si>
    <t>A.4.2 Resource documentation • A.4.5 System and computing resources • A.6.2.2 AI system requirements and specification • A.9.2 Processes for responsible use of AI systems</t>
  </si>
  <si>
    <t>A.6.2.2 AI system requirements and specification • A.9.2 Processes for responsible use of AI systems • A.6.2.6 AI system operation and monitoring • A.6.2.8 AI system recording of event logs</t>
  </si>
  <si>
    <t>A.6.2.6 AI system operation and monitoring • A.6.2.8 AI system recording of event logs • A.6.2.2 AI system requirements and specification</t>
  </si>
  <si>
    <t>A.9.2 Processes for responsible use of AI systems • A.6.2.6 AI system operation and monitoring • A.6.2.2 AI system requirements and specification</t>
  </si>
  <si>
    <t>A.9.2 Processes for responsible use of AI systems • A.6.2.2 AI system requirements and specification • A.6.2.6 AI system operation and monitoring</t>
  </si>
  <si>
    <t>A.9.2 Processes for responsible use of AI systems • A.8.2 System documentation and information for users • A.6.2.6 AI system operation and monitoring</t>
  </si>
  <si>
    <t>A.9.2 Processes for responsible use of AI systems • A.6.2.2 AI system requirements and specification • A.6.2.6 AI system operation and monitoring • A.6.2.8 AI system recording of event logs</t>
  </si>
  <si>
    <t>A.3.2 AI roles and responsibilities • A.9.2 Processes for responsible use of AI systems • A.4.6 Human resources • A.6.2.6 AI system operation and monitoring</t>
  </si>
  <si>
    <t>A.6.2.2 AI system requirements and specification • A.6.2.6 AI system operation and monitoring • A.6.2.8 AI system recording of event logs</t>
  </si>
  <si>
    <t>A.4.5 System and computing resources • A.4.4 Tooling resources • A.6.2.6 AI system operation and monitoring</t>
  </si>
  <si>
    <t>A.6.2.6 AI system operation and monitoring • A.4.5 System and computing resources • A.6.2.8 AI system recording of event logs</t>
  </si>
  <si>
    <t>A.4.5 System and computing resources • A.6.2.6 AI system operation and monitoring • A.6.2.8 AI system recording of event logs</t>
  </si>
  <si>
    <t>A.6.1.3 Processes for responsible AI system design and development • A.6.2.5 AI system deployment • A.4.5 System and computing resources</t>
  </si>
  <si>
    <t>A.10.3 Suppliers • A.10.2 Allocating responsibilities • A.5.2 AI system impact assessment process</t>
  </si>
  <si>
    <t>A.10.3 Suppliers • A.4.4 Tooling resources • A.6.2.4 AI system verification and validation</t>
  </si>
  <si>
    <t>A.4.2 Resource documentation • A.4.4 Tooling resources • A.4.5 System and computing resources</t>
  </si>
  <si>
    <t>A.10.3 Suppliers • A.4.4 Tooling resources • A.6.2.6 AI system operation and monitoring</t>
  </si>
  <si>
    <t>A.9.2 Processes for responsible use of AI systems • A.6.2.6 AI system operation and monitoring • A.6.2.8 AI system recording of event logs</t>
  </si>
  <si>
    <t>A.6.2.4 AI system verification and validation • A.9.2 Processes for responsible use of AI systems • A.6.2.6 AI system operation and monitoring</t>
  </si>
  <si>
    <t>A.9.2 Processes for responsible use of AI systems • A.6.2.6 AI system operation and monitoring • A.8.2 System documentation and information for users</t>
  </si>
  <si>
    <t>A.6.2.8 AI system recording of event logs • A.8.5 Information for interested parties • A.9.2 Processes for responsible use of AI systems</t>
  </si>
  <si>
    <t>A.9.2 Processes for responsible use of AI systems • A.6.1.2 Objectives for responsible development of AI system • A.6.1.3 Processes for responsible AI system design and development</t>
  </si>
  <si>
    <t>A.2.2 AI policy • A.9.2 Processes for responsible use of AI systems • A.8.2 System documentation and information for users</t>
  </si>
  <si>
    <t>A.6.2.6 AI system operation and monitoring • A.6.2.4 AI system verification and validation • A.9.2 Processes for responsible use of AI systems</t>
  </si>
  <si>
    <t>A.6.1.3 Processes for responsible AI system design and development • A.7.2 Data for development and enhancement of AI system • A.7.4 Quality of data for AI systems • A.6.2.4 AI system verification and validation</t>
  </si>
  <si>
    <t>A.6.2.6 AI system operation and monitoring • A.6.2.8 AI system recording of event logs • A.4.5 System and computing resources</t>
  </si>
  <si>
    <t>A.6.2.6 AI system operation and monitoring • A.6.2.8 AI system recording of event logs</t>
  </si>
  <si>
    <t>A.6.2.8 AI system recording of event logs • A.6.2.3 Documentation of AI system design and development</t>
  </si>
  <si>
    <t>A.6.2.8 AI system recording of event logs • A.6.2.6 AI system operation and monitoring • A.8.4 Communication of incidents • A.8.3 External reporting</t>
  </si>
  <si>
    <t>A.6.2.8 AI system recording of event logs • A.8.4 Communication of incidents</t>
  </si>
  <si>
    <t>A.8.4 Communication of incidents • A.6.2.8 AI system recording of event logs • A.6.2.6 AI system operation and monitoring</t>
  </si>
  <si>
    <t>A.7.2 Data for development and enhancement of AI system • A.7.4 Quality of data for AI systems • A.7.5 Data provenance • A.6.2.6 AI system operation and monitoring • A.6.2.8 AI system recording of event logs</t>
  </si>
  <si>
    <t>A.7.5 Data provenance • A.7.3 Acquisition of data • A.7.2 Data for development and enhancement of AI system</t>
  </si>
  <si>
    <t>A.7.4 Quality of data for AI systems • A.7.5 Data provenance • A.6.2.4 AI system verification and validation • A.6.2.6 AI system operation and monitoring</t>
  </si>
  <si>
    <t>A.7.2 Data for development and enhancement of AI system • A.4.5 System and computing resources • A.6.2.6 AI system operation and monitoring</t>
  </si>
  <si>
    <t>A.7.3 Acquisition of data • A.7.2 Data for development and enhancement of AI system</t>
  </si>
  <si>
    <t>A.7.4 Quality of data for AI systems • A.7.6 Data preparation</t>
  </si>
  <si>
    <t>A.7.4 Quality of data for AI systems • A.5.4 Assessing AI system impact on individuals or groups of individuals • A.5.5 Assessing societal impacts of AI systems</t>
  </si>
  <si>
    <t>A.9.2 Processes for responsible use of AI systems • A.4.5 System and computing resources • A.3.2 AI roles and responsibilities</t>
  </si>
  <si>
    <t>A.6.2.3 Documentation of AI system design and development • A.6.2.4 AI system verification and validation • A.6.2.5 AI system deployment</t>
  </si>
  <si>
    <t>A.9.2 Processes for responsible use of AI systems • A.5.4 Assessing AI system impact on individuals or groups of individuals • A.6.2.2 AI system requirements and specification</t>
  </si>
  <si>
    <t>A.6.2.3 Documentation of AI system design and development • A.8.2 System documentation and information for users</t>
  </si>
  <si>
    <t>A.6.2.5 AI system deployment • A.6.2.4 AI system verification and validation • A.6.2.3 Documentation of AI system design and development</t>
  </si>
  <si>
    <t>A.4.5 System and computing resources • A.6.2.2 AI system requirements and specification • A.6.2.6 AI system operation and monitoring</t>
  </si>
  <si>
    <t>A.6.2.3 Documentation of AI system design and development • A.4.4 Tooling resources • A.6.2.8 AI system recording of event logs</t>
  </si>
  <si>
    <t>A.6.2.4 AI system verification and validation • A.5.2 AI system impact assessment process</t>
  </si>
  <si>
    <t>A.6.2.6 AI system operation and monitoring • A.9.4 Intended use of the AI system • A.5.4 Assessing AI system impact on individuals or groups of individuals • A.5.5 Assessing societal impacts of AI systems</t>
  </si>
  <si>
    <t>A.4.5 System and computing resources • A.6.2.6 AI system operation and monitoring</t>
  </si>
  <si>
    <t>A.8.4 Communication of incidents • A.3.3 Reporting of concerns</t>
  </si>
  <si>
    <t>A.8.4 Communication of incidents • A.6.2.6 AI system operation and monitoring • A.6.2.8 AI system recording of event logs</t>
  </si>
  <si>
    <t>A.6.2.6 AI system operation and monitoring • A.6.2.5 AI system deployment</t>
  </si>
  <si>
    <t>A.4.5 System and computing resources • A.6.2.6 AI system operation and monitoring • A.10.2 Allocating responsibilities</t>
  </si>
  <si>
    <t>A.6.1.3 Processes for responsible AI system design and development • A.6.2.6 AI system operation and monitoring • A.5.3 Documentation of AI system impact assessments</t>
  </si>
  <si>
    <t>MAP 4.2 – Internal risk controls for system components are identified and documented • MEASURE 2.7 – Security and resilience risks are evaluated and documented</t>
  </si>
  <si>
    <t>MANAGE 4.1 – Post-deployment monitoring and incident response and recovery plans are implemented and documented</t>
  </si>
  <si>
    <t>MAP 1.6 – System requirements and constraints are elicited and documented • MAP 2.3 – Scientific integrity and TEVV considerations are identified and documented • MEASURE 2.1 – Test sets, metrics, and test results are examined and documented • MEASURE 2.3 – Performance and assurance criteria are measured and documented • MEASURE 2.5 – The AI system is demonstrated to be valid, reliable, and fit for purpose • MEASURE 2.7 – Security and resilience risks are evaluated and documented • MEASURE 3.1 – Risks are monitored over time, including emergent and unanticipated risks • MANAGE 4.1 – Post-deployment monitoring and incident response and recovery plans are implemented and documented</t>
  </si>
  <si>
    <t>GOVERN 1.4 – Risk management processes and outcomes are established through transparent governance structures • GOVERN 1.5 – Ongoing monitoring and periodic review processes are planned and implemented • GOVERN 2.1 – Roles and responsibilities for AI risk management and oversight are clearly defined • MAP 1.6 – System requirements and constraints are elicited and documented • MAP 4.2 – Internal risk controls for system components (including third-party) are identified and documented • MEASURE 2.7 – Security and resilience risks are evaluated and documented • MEASURE 2.4 – The AI system is monitored in accordance with organizational policies, including for security and performance • MEASURE 3.1 – Risks are monitored over time, including emergent and unanticipated risks • MANAGE 4.1 – Post-deployment monitoring and incident response and recovery plans are implemented and documented</t>
  </si>
  <si>
    <t>MAP 2.3 – Scientific integrity and TEVV considerations are identified and documented • MAP 4.2 – Internal risk controls for system components are identified and documented • MEASURE 2.4 – The AI system is monitored in accordance with organizational policies, including for security and performance • MEASURE 2.7 – Security and resilience risks are evaluated and documented • MEASURE 3.1 – Risks are monitored over time, including emergent and unanticipated risks • MANAGE 4.1 – Post-deployment monitoring and incident response and recovery plans are implemented and documented • MANAGE 2.3 – Response and recovery processes are implemented when previously unknown risks are identified</t>
  </si>
  <si>
    <t>GOVERN 1.4 – Risk management processes and outcomes are established through transparent governance structures • GOVERN 2.1 – Roles and responsibilities for AI risk management and oversight are clearly defined • MAP 1.6 – System requirements and constraints are elicited and documented • MAP 4.2 – Internal risk controls for system components (including third-party) are identified and documented • MEASURE 2.7 – Security and resilience risks are evaluated and documented • MEASURE 2.4 – The AI system is monitored in accordance with organizational policies, including for security and performance • MEASURE 3.1 – Risks are monitored over time, including emergent and unanticipated risks • MANAGE 4.1 – Post-deployment monitoring and incident response and recovery plans are implemented and documented</t>
  </si>
  <si>
    <t>GOVERN 2.1 – Roles and responsibilities for AI risk management and oversight are clearly defined • GOVERN 1.4 – Risk management processes and outcomes are established through transparent governance structures • GOVERN 1.5 – Ongoing monitoring and periodic review processes are planned and implemented • MAP 1.6 – System requirements and constraints are elicited and documented • 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</si>
  <si>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MAP 2.1 – The AI system’s tasks, methods, and operational context are defined and documented • MAP 2.3 – Scientific integrity and TEVV considerations are identified and documented • MEASURE 2.6 – Safety risks are evaluated and documented • MEASURE 2.7 – Security and resilience risks are evaluated and documented • MEASURE 2.4 – The AI system is monitored in accordance with organizational policies, including for security and performance • MEASURE 3.1 – Risks are monitored over time, including emergent and unanticipated risks • MANAGE 4.1 – Post-deployment monitoring and incident response and recovery plans are implemented and documented</t>
  </si>
  <si>
    <t>MAP 2.3 – Scientific integrity and TEVV considerations are identified and documented • MEASURE 2.6 – Safety risks are evaluated and documented • MEASURE 2.7 – Security and resilience risks are evaluated and documented • MEASURE 2.5 – The AI system is demonstrated to be valid, reliable, and fit for purpose • MANAGE 1.3 – Responses to identified risks are planned and documented • MANAGE 2.2 – Mechanisms are implemented to sustain the value of deployed AI systems and minimize negative impacts • MANAGE 4.2 – Continuous improvement processes are integrated into system updates</t>
  </si>
  <si>
    <t>MAP 2.3 – Scientific integrity and TEVV considerations are identified and documented • MEASURE 2.1 – Test sets, metrics, and test results are examined and documented • MEASURE 1.2 – The appropriateness of metrics and effectiveness of controls are assessed • MEASURE 2.6 – Safety risks are evaluated and documented • MEASURE 2.7 – Security and resilience risks are evaluated and documented • MEASURE 2.13 – The effectiveness of measurement approaches is evaluated and documented • MEASURE 3.1 – Risks are monitored over time • MANAGE 4.2 – Continuous improvement processes are integrated into system updates</t>
  </si>
  <si>
    <t>MAP 1.6 – System requirements and constraints are elicited and documented • MAP 4.2 – Internal risk controls for system components are identified and documented • MEASURE 2.6 – Safety risks are evaluated and documented • MEASURE 2.7 – Security and resilience risks are evaluated and documented • MEASURE 1.2 – The appropriateness of metrics and effectiveness of controls are assessed • MANAGE 1.3 – Responses to identified risks are planned and documented • MANAGE 4.1 – Post-deployment monitoring and incident response and recovery plans are implemented and documented</t>
  </si>
  <si>
    <t>MEASURE 2.4 – The AI system is monitored in accordance with organizational policies, including for security and performance • MEASURE 3.1 – Risks are monitored over time, including emergent and unanticipated risks • MEASURE 2.6 – Safety risks are evaluated and documented • MEASURE 2.7 – Security and resilience risks are evaluated and documented • MANAGE 4.1 – Post-deployment monitoring and incident response and recovery plans are implemented and documented • MANAGE 2.4 – Systems are deactivated or disengaged when they do not align with intended use or objectives</t>
  </si>
  <si>
    <t>GOVERN 1.4 – Risk management processes and outcomes are established through transparent governance structures • GOVERN 1.5 – Ongoing monitoring and periodic review processes are planned and implemented • MAP 1.6 – System requirements and constraints are elicited and documented • 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</si>
  <si>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GOVERN 2.1 – Roles and responsibilities for AI risk management and oversight are clearly defined • GOVERN 1.4 – Risk management processes and outcomes are established through transparent governance structures • GOVERN 1.5 – Ongoing monitoring and periodic review processes are planned and implemented • 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</si>
  <si>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GOVERN 1.4 – Risk management processes and outcomes are established through transparent governance structures • GOVERN 1.5 – Ongoing monitoring and periodic review processes are planned and implemented • GOVERN 2.1 – Roles and responsibilities for AI risk management and oversight are clearly defined • MEASURE 2.1 – Test sets, metrics, and test results are examined and documented • MEASURE 2.7 – Security and resilience risks are evaluated and documented • MANAGE 4.2 – Continuous improvement processes are integrated into system updates • MANAGE 4.1 – Post-deployment monitoring and incident response and recovery plans are implemented and documented</t>
  </si>
  <si>
    <t>MAP 1.6 – System requirements and constraints are elicited and documented • MAP 4.2 – Internal risk controls for system components (including third-party) are identified and documented • MEASURE 2.1 – Test sets, metrics, and test results are examined and documented • MEASURE 2.7 – Security and resilience risks are evaluated and documented • MANAGE 1.1 – Decisions are made about whether to proceed based on objectives and risk • MANAGE 1.3 – Responses to identified risks are planned and documented • MANAGE 4.1 – Post-deployment monitoring and incident response and recovery plans are implemented and documented</t>
  </si>
  <si>
    <t>GOVERN 2.1 – Roles and responsibilities for AI risk management and oversight are clearly defined • GOVERN 1.4 – Risk management processes and outcomes are established through transparent governance structures • GOVERN 1.5 – Ongoing monitoring and periodic review processes are planned and implemented • 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</si>
  <si>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1.6 – System requirements and constraints are elicited and documented • MAP 4.2 – Internal risk controls for system components are identified and documented • MEASURE 2.7 – Security and resilience risks are evaluated and documented • MEASURE 2.4 – The AI system is monitored in accordance with organizational policies • MANAGE 1.3 – Responses to identified risks are planned and documented • MANAGE 4.1 – Post-deployment monitoring and incident response and recovery plans are implemented and documented</t>
  </si>
  <si>
    <t>GOVERN 2.1 – Roles and responsibilities for AI risk management and oversight are clearly defined • MAP 1.6 – System requirements and constraints are elicited and documented • 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</si>
  <si>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</si>
  <si>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1.3 – Responses to identified risks are planned and documented • MANAGE 4.1 – Post-deployment monitoring and incident response and recovery plans are implemented and documented</t>
  </si>
  <si>
    <t>MAP 1.6 – System requirements and constraints are elicited and documented • MAP 2.1 – The AI system’s tasks, methods, and operational context are defined and documented • MEASURE 2.6 – Safety risks are evaluated and documented • MEASURE 2.7 – Security and resilience risks are evaluated and documented • MANAGE 1.3 – Responses to identified risks are planned and documented • MANAGE 4.1 – Post-deployment monitoring and incident response and recovery plans are implemented and documented</t>
  </si>
  <si>
    <t>MEASURE 2.6 – Safety risks are evaluated and documented • MEASURE 2.11 – Fairness and bias risks are evaluated and documented • MEASURE 2.10 – Privacy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</si>
  <si>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2.1 – The AI system’s tasks, methods, and operational context are defined and documented • MEASURE 2.7 – Security and resilience risks are evaluated and documented • MEASURE 2.6 – Safety risks are evaluated and documented • MEASURE 2.4 – The AI system is monitored in accordance with organizational policies • MEASURE 3.1 – Risks are monitored over time • MANAGE 1.3 – Responses to identified risks are planned and documented • MANAGE 4.1 – Post-deployment monitoring and incident response and recovery plans are implemented and documented</t>
  </si>
  <si>
    <t>GOVERN 2.1 – Roles and responsibilities for AI risk management and oversight are clearly defined • GOVERN 1.5 – Ongoing monitoring and periodic review processes are planned and implemented • 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</si>
  <si>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1.6 – System requirements and constraints are elicited and documented • MAP 4.2 – Internal risk controls for system components are identified and documented • MEASURE 2.7 – Security and resilience risks are evaluated and documented • MEASURE 3.1 – Risks are monitored over time • MANAGE 4.1 – Post-deployment monitoring and incident response and recovery plans are implemented and documented</t>
  </si>
  <si>
    <t>MEASURE 2.4 – The AI system is monitored in accordance with organizational policies • MEASURE 2.7 – Security and resilience risks are evaluated and documented • MEASURE 3.1 – Risks are monitored over time • MANAGE 4.1 – Post-deployment monitoring and incident response and recovery plans are implemented and documented</t>
  </si>
  <si>
    <t>GOVERN 1.4 – Risk management processes and outcomes are established through transparent governance structures • 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</si>
  <si>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MAP 1.6 – System requirements and constraints are elicited and documented • MAP 4.2 – Internal risk controls for system components are identified and documented • GOVERN 1.4 – Risk management processes and outcomes are established through transparent governance structures • MEASURE 2.7 – Security and resilience risks are evaluated and documented</t>
  </si>
  <si>
    <t>GOVERN 6.1 – Policies and procedures for managing third-party AI risks are established • MAP 4.1 – Approaches for mapping AI risks across components and dependencies are identified • MAP 4.2 – Internal risk controls for system components (including third-party) are identified and documented • MEASURE 2.7 – Security and resilience risks are evaluated and documented • MANAGE 3.1 – Third-party risks are monitored and managed, and controls are applied and documented</t>
  </si>
  <si>
    <t>GOVERN 6.1 – Policies and procedures for managing third-party AI risks are established • MAP 4.1 – Approaches for mapping AI risks across components and dependencies are identified • MAP 4.2 – Internal risk controls for system components (including third-party) are identified and documented • MEASURE 2.7 – Security and resilience risks are evaluated and documented • MEASURE 2.10 – Privacy risks are evaluated and documented • MEASURE 2.6 – Safety risks are evaluated and documented • MANAGE 3.1 – Third-party risks are monitored and managed, and controls are applied and documented</t>
  </si>
  <si>
    <t>MAP 4.1 – Approaches for mapping AI risks across components and dependencies are identified • MAP 4.2 – Internal risk controls for system components (including third-party) are identified and documented • GOVERN 1.6 – AI systems are inventoried and resources are aligned to risk priorities • GOVERN 6.1 – Policies and procedures for managing third-party AI risks are established • MANAGE 3.1 – Third-party risks are monitored and managed, and controls are applied and documented</t>
  </si>
  <si>
    <t>GOVERN 6.1 – Policies and procedures for managing third-party AI risks are established • MEASURE 3.1 – Risks are monitored over time, including emergent and unanticipated risks • MEASURE 2.7 – Security and resilience risks are evaluated and documented • MANAGE 3.1 – Third-party risks are monitored and managed, and controls are applied and documented • MANAGE 4.2 – Continuous improvement processes are integrated into system updates</t>
  </si>
  <si>
    <t>MAP 2.3 – Scientific integrity and TEVV considerations are identified and documented • MEASURE 2.6 – Safety risks are evaluated and documented • MEASURE 2.7 – Security and resilience risks are evaluated and documented • MEASURE 2.1 – Test sets, metrics, and test results are examined and documented • MEASURE 1.2 – The appropriateness of metrics and effectiveness of controls are assessed • MEASURE 3.1 – Risks are monitored over time • MANAGE 4.2 – Continuous improvement processes are integrated into system updates</t>
  </si>
  <si>
    <t>GOVERN 1.4 – Risk management processes and outcomes are established through transparent governance structures • MEASURE 2.4 – The AI system is monitored in accordance with organizational policies • MEASURE 2.10 – Privacy risks are evaluated and documented • MEASURE 2.7 – Security and resilience risks are evaluated and documented • MANAGE 4.1 – Post-deployment monitoring and incident response and recovery plans are implemented and documented</t>
  </si>
  <si>
    <t>GOVERN 1.2 – Trustworthy AI characteristics are integrated into organizational policies • MAP 1.1 – Intended purpose, context, and constraints are documented • MEASURE 2.6 – Safety risks are evaluated and documented • MANAGE 2.2 – Mechanisms are implemented to sustain the value of deployed AI systems and minimize negative impacts • MANAGE 4.2 – Continuous improvement processes are integrated into system updates</t>
  </si>
  <si>
    <t>GOVERN 1.1 – Legal, regulatory, and organizational requirements are identified and documented • GOVERN 1.2 – Trustworthy AI characteristics are integrated into organizational policies • GOVERN 1.4 – Risk management processes and outcomes are established through transparent governance structures • GOVERN 2.1 – Roles and responsibilities for AI risk management and oversight are clearly defined</t>
  </si>
  <si>
    <t>MEASURE 2.3 – Performance and assurance criteria are measured and documented • MEASURE 2.5 – The AI system is demonstrated to be valid, reliable, and fit for purpose • MEASURE 2.6 – Safety risks are evaluated and documented • MEASURE 2.4 – The AI system is monitored in accordance with organizational policies • MEASURE 3.1 – Risks are monitored over time • MANAGE 4.2 – Continuous improvement processes are integrated into system updates</t>
  </si>
  <si>
    <t>MAP 2.3 – Scientific integrity and TEVV considerations are identified and documented • MEASURE 2.10 – Privacy risks are evaluated and documented • MEASURE 2.11 – Fairness and bias risks are evaluated and documented • MEASURE 2.7 – Security and resilience risks are evaluated and documented • MEASURE 2.6 – Safety risks are evaluated and documented • MEASURE 3.1 – Risks are monitored over time • MANAGE 4.2 – Continuous improvement processes are integrated into system updates</t>
  </si>
  <si>
    <t>GOVERN 1.5 – Ongoing monitoring and periodic review processes are planned and implemented • MEASURE 2.4 – The AI system is monitored in accordance with organizational policies, including for security and performance • MEASURE 3.1 – Risks are monitored over time, including emergent and unanticipated risks • MEASURE 2.7 – Security and resilience risks are evaluated and documented • MANAGE 4.1 – Post-deployment monitoring and incident response and recovery plans are implemented and documented</t>
  </si>
  <si>
    <t>GOVERN 1.4 – Risk management processes and outcomes are established through transparent governance structures • MEASURE 2.4 – The AI system is monitored in accordance with organizational policies • MEASURE 2.7 – Security and resilience risks are evaluated and documented • MANAGE 4.1 – Post-deployment monitoring and incident response and recovery plans are implemented and documented</t>
  </si>
  <si>
    <t>MEASURE 2.4 – The AI system is monitored in accordance with organizational policies, including for security and performance • MEASURE 3.1 – Risks are monitored over time, including emergent and unanticipated risks • MEASURE 2.3 – Performance and assurance criteria are measured and documented • MANAGE 4.2 – Continuous improvement processes are integrated into system updates • MANAGE 4.1 – Post-deployment monitoring and incident response and recovery plans are implemented and documented</t>
  </si>
  <si>
    <t>GOVERN 4.3 – Testing, incident identification, and information sharing are enabled • MEASURE 2.4 – The AI system is monitored in accordance with organizational policies • MEASURE 3.1 – Risks are monitored over time • MEASURE 2.7 – Security and resilience risks are evaluated and documented • MANAGE 4.1 – Post-deployment monitoring and incident response and recovery plans are implemented and documented • MANAGE 4.3 – Incidents, errors, and impacts are communicated and addressed</t>
  </si>
  <si>
    <t>MEASURE 2.7 – Security and resilience risks are evaluated and documented • MEASURE 3.1 – Risks are monitored over time • MANAGE 4.1 – Post-deployment monitoring and incident response and recovery plans are implemented and documented • MANAGE 4.3 – Incidents, errors, and impacts are communicated and addressed • MANAGE 4.2 – Continuous improvement processes are integrated into system updates</t>
  </si>
  <si>
    <t>GOVERN 1.4 – Risk management processes and outcomes are established through transparent governance structures • 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</si>
  <si>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GOVERN 1.6 – AI systems are inventoried and resources are aligned to risk priorities • MAP 4.1 – Approaches for mapping AI risks across components and dependencies are identified • MAP 4.2 – Internal risk controls for system components are identified and documented • MEASURE 2.1 – Test sets, metrics, and test results are examined and documented</t>
  </si>
  <si>
    <t>GOVERN 2.1 – Roles and responsibilities for AI risk management and oversight are clearly defined • GOVERN 1.1 – Legal, regulatory, and organizational requirements are identified and documented • GOVERN 1.4 – Risk management processes and outcomes are established through transparent governance structures • MAP 1.6 – System requirements and constraints are elicited and documented</t>
  </si>
  <si>
    <t>MAP 2.3 – Scientific integrity and TEVV considerations are identified and documented • MEASURE 2.7 – Security and resilience risks are evaluated and documented • MEASURE 2.4 – The AI system is monitored in accordance with organizational policies • MEASURE 3.1 – Risks are monitored over time • MANAGE 4.1 – Post-deployment monitoring and incident response and recovery plans are implemented and documented</t>
  </si>
  <si>
    <t>MAP 4.2 – Internal risk controls for system components are identified and documented • MEASURE 2.7 – Security and resilience risks are evaluated and documented • MEASURE 2.4 – The AI system is monitored in accordance with organizational policies • MANAGE 4.1 – Post-deployment monitoring and incident response and recovery plans are implemented and documented</t>
  </si>
  <si>
    <t>MAP 1.1 – Intended purpose, context, and constraints are documented • GOVERN 1.1 – Legal, regulatory, and organizational requirements are identified and documented • MEASURE 2.10 – Privacy risks are evaluated and documented</t>
  </si>
  <si>
    <t>MAP 2.3 – Scientific integrity and TEVV considerations are identified and documented • MEASURE 2.1 – Test sets, metrics, and test results are examined and documented • MEASURE 2.3 – Performance and assurance criteria are measured and documented • MEASURE 2.5 – The AI system is demonstrated to be valid, reliable, and fit for purpose</t>
  </si>
  <si>
    <t>MEASURE 2.10 – Privacy risks are evaluated and documented • MEASURE 2.11 – Fairness and bias risks are evaluated and documented • MEASURE 2.7 – Security and resilience risks are evaluated and documented</t>
  </si>
  <si>
    <t>GOVERN 2.1 – Roles and responsibilities for AI risk management and oversight are clearly defined • GOVERN 1.4 – Risk management processes and outcomes are established through transparent governance structures • MAP 1.6 – System requirements and constraints are elicited and documented • MEASURE 2.7 – Security and resilience risks are evaluated and documented</t>
  </si>
  <si>
    <t>GOVERN 1.5 – Ongoing monitoring and periodic review processes are planned and implemented • GOVERN 2.1 – Roles and responsibilities for AI risk management and oversight are clearly defined • MEASURE 2.1 – Test sets, metrics, and test results are examined and documented • MEASURE 2.7 – Security and resilience risks are evaluated and documented • MANAGE 4.2 – Continuous improvement processes are integrated into system updates</t>
  </si>
  <si>
    <t>MAP 4.2 – Internal risk controls for system components are identified and documented • MEASURE 2.7 – Security and resilience risks are evaluated and documented • MEASURE 2.4 – The AI system is monitored in accordance with organizational policies • MEASURE 3.1 – Risks are monitored over time • MANAGE 1.3 – Responses to identified risks are planned and documented</t>
  </si>
  <si>
    <t>MEASURE 2.10 – Privacy risks are evaluated and documented • MEASURE 2.7 – Security and resilience risks are evaluated and documented • MAP 1.6 – System requirements and constraints are elicited and documented</t>
  </si>
  <si>
    <t>MANAGE 1.1 – Decisions are made about whether to proceed based on objectives and risk • MEASURE 2.1 – Test sets, metrics, and test results are examined and documented • MEASURE 2.7 – Security and resilience risks are evaluated and documented • MAP 4.2 – Internal risk controls for system components are identified and documented</t>
  </si>
  <si>
    <t>MEASURE 2.4 – The AI system is monitored in accordance with organizational policies, including for security and performance • MEASURE 3.1 – Risks are monitored over time • MEASURE 2.7 – Security and resilience risks are evaluated and documented • MANAGE 4.1 – Post-deployment monitoring and incident response and recovery plans are implemented and documented</t>
  </si>
  <si>
    <t>GOVERN 1.4 – Risk management processes and outcomes are established through transparent governance structures • GOVERN 1.5 – Ongoing monitoring and periodic review processes are planned and implemented • MAP 4.2 – Internal risk controls for system components are identified and documented • MEASURE 2.4 – The AI system is monitored in accordance with organizational policies • MEASURE 2.7 – Security and resilience risks are evaluated and documented</t>
  </si>
  <si>
    <t>MAP 2.3 – Scientific integrity and TEVV considerations are identified and documented • MEASURE 2.1 – Test sets, metrics, and test results are examined and documented • MEASURE 2.6 – Safety risks are evaluated and documented • MEASURE 2.7 – Security and resilience risks are evaluated and documented</t>
  </si>
  <si>
    <t>MEASURE 2.6 – Safety risks are evaluated and documented • MANAGE 2.2 – Mechanisms are implemented to sustain the value of deployed AI systems and minimize negative impacts • MANAGE 4.1 – Post-deployment monitoring and incident response and recovery plans are implemented and documented</t>
  </si>
  <si>
    <t>MAP 1.6 – System requirements and constraints are elicited and documented • MEASURE 2.7 – Security and resilience risks are evaluated and documented • MANAGE 2.2 – Mechanisms are implemented to sustain the value of deployed AI systems and minimize negative impacts</t>
  </si>
  <si>
    <t>MAP 2.3 – Scientific integrity and TEVV considerations are identified and documented • MEASURE 2.6 – Safety risks are evaluated and documented • MEASURE 2.7 – Security and resilience risks are evaluated and documented • MEASURE 2.1 – Test sets, metrics, and test results are examined and documented • MEASURE 3.1 – Risks are monitored over time</t>
  </si>
  <si>
    <t>MEASURE 2.6 – Safety risks are evaluated and documented • MEASURE 2.7 – Security and resilience risks are evaluated and documented • MEASURE 3.1 – Risks are monitored over time • MANAGE 2.2 – Mechanisms are implemented to sustain the value of deployed AI systems and minimize negative impacts</t>
  </si>
  <si>
    <t>GOVERN 4.3 – Testing, incident identification, and information sharing are enabled • MANAGE 4.3 – Incidents, errors, and impacts are communicated and addressed • MANAGE 4.1 – Post-deployment monitoring and incident response and recovery plans are implemented and documented</t>
  </si>
  <si>
    <t>MANAGE 4.1 – Post-deployment monitoring and incident response and recovery plans are implemented and documented • MANAGE 1.3 – Responses to identified risks are planned and documented</t>
  </si>
  <si>
    <t>MANAGE 4.1 – Post-deployment monitoring and incident response and recovery plans are implemented and documented • MANAGE 2.3 – Response and recovery processes are implemented when previously unknown risks are identified</t>
  </si>
  <si>
    <t>MAP 1.6 – System requirements and constraints are elicited and documented • MANAGE 2.2 – Mechanisms are implemented to sustain the value of deployed AI systems and minimize negative impacts</t>
  </si>
  <si>
    <t>MANAGE 4.2 – Continuous improvement processes are integrated into system updates • MEASURE 3.1 – Risks are monitored over time, including emergent and unanticipated risks</t>
  </si>
  <si>
    <t>SA-11 Developer Testing and Evaluation • SA-15 Development Process, Standards, and Tools • SI-10 Information Input Validation • SI-4 System Monitoring • AU-3 Content of Audit Records</t>
  </si>
  <si>
    <t>SI-7 Software, Firmware, and Information Integrity • SC-28 Protection of Information at Rest • AC-3 Access Enforcement • AC-6 Least Privilege • AU-2 Event Logging • AU-12 Audit Record Generation • SI-4 System Monitoring</t>
  </si>
  <si>
    <t>SI-4 System Monitoring • SI-3 Malicious Code Protection • AU-6 Audit Record Review, Analysis, and Reporting • IR-4 Incident Handling</t>
  </si>
  <si>
    <t>SC-8 Transmission Confidentiality and Integrity • SC-13 Cryptographic Protection • SC-7 Boundary Protection • AC-3 Access Enforcement • SI-7 Software, Firmware, and Information Integrity • SI-4 System Monitoring • AU-12 Audit Record Generation</t>
  </si>
  <si>
    <t>AC-2 Account Management • AC-3 Access Enforcement • AC-5 Separation of Duties • AC-6 Least Privilege • IA-2 Identification and Authentication • IA-5 Authenticator Management • AC-16 Security and Privacy Attributes • AC-1 Access Control Policy and Procedures</t>
  </si>
  <si>
    <t>SI-10 Information Input Validation • SI-4 System Monitoring • SA-11 Developer Testing and Evaluation • RA-5 Vulnerability Monitoring and Scanning</t>
  </si>
  <si>
    <t>SA-15 Development Process, Standards, and Tools • SA-11 Developer Testing and Evaluation • RA-3 Risk Assessment</t>
  </si>
  <si>
    <t>SA-11 Developer Testing and Evaluation • CA-2 Control Assessments • CA-7 Continuous Monitoring • SI-4 System Monitoring</t>
  </si>
  <si>
    <t>SI-10 Information Input Validation • SI-4 System Monitoring • SA-15 Development Process, Standards, and Tools • RA-3 Risk Assessment</t>
  </si>
  <si>
    <t>SI-4 System Monitoring • AU-6 Audit Record Review, Analysis, and Reporting • CA-7 Continuous Monitoring • IR-4 Incident Handling</t>
  </si>
  <si>
    <t>SI-7 Software, Firmware, and Information Integrity • SC-28 Protection of Information at Rest • CM-5 Access Restrictions for Change • CM-3 Configuration Change Control • AU-12 Audit Record Generation</t>
  </si>
  <si>
    <t>AC-3 Access Enforcement • AC-6 Least Privilege • IA-2 Identification and Authentication • SC-28 Protection of Information at Rest • CM-2 Baseline Configuration • CM-3 Configuration Change Control • AU-2 Event Logging • AU-12 Audit Record Generation • SI-7 Software, Firmware, and Information Integrity</t>
  </si>
  <si>
    <t>CM-3 Configuration Change Control • CM-5 Access Restrictions for Change • CM-2 Baseline Configuration • SA-10 Developer Configuration Management • SA-11 Developer Testing and Evaluation • AU-12 Audit Record Generation</t>
  </si>
  <si>
    <t>SA-10 Developer Configuration Management • SA-11 Developer Testing and Evaluation • CM-3 Configuration Change Control • CM-5 Access Restrictions for Change • SI-7 Software, Firmware, and Information Integrity • AC-3 Access Enforcement • SC-7 Boundary Protection</t>
  </si>
  <si>
    <t>AC-3 Access Enforcement • AC-6 Least Privilege • IA-2 Identification and Authentication • CM-3 Configuration Change Control • CM-5 Access Restrictions for Change • AU-12 Audit Record Generation • SI-4 System Monitoring • SI-7 Software, Firmware, and Information Integrity</t>
  </si>
  <si>
    <t>SC-28 Protection of Information at Rest • SC-13 Cryptographic Protection • SC-8 Transmission Confidentiality and Integrity • AC-3 Access Enforcement • AC-6 Least Privilege • SI-4 System Monitoring • AU-12 Audit Record Generation</t>
  </si>
  <si>
    <t>IA-2 Identification and Authentication • IA-5 Authenticator Management • AC-3 Access Enforcement • AC-6 Least Privilege • AC-16 Security and Privacy Attributes • SC-7 Boundary Protection</t>
  </si>
  <si>
    <t>SC-5 Denial of Service Protection • SI-4 System Monitoring • AU-12 Audit Record Generation • IR-4 Incident Handling</t>
  </si>
  <si>
    <t>SC-5 Denial of Service Protection • SI-4 System Monitoring • AU-6 Audit Record Review, Analysis, and Reporting • AC-3 Access Enforcement</t>
  </si>
  <si>
    <t>SI-10 Information Input Validation • SI-4 System Monitoring • SA-11 Developer Testing and Evaluation</t>
  </si>
  <si>
    <t>SI-4 System Monitoring • AU-6 Audit Record Review, Analysis, and Reporting • IR-4 Incident Handling • AC-4 Information Flow Enforcement</t>
  </si>
  <si>
    <t>SI-10 Information Input Validation • AC-4 Information Flow Enforcement • SC-7 Boundary Protection • SI-4 System Monitoring</t>
  </si>
  <si>
    <t>AC-2 Account Management • AC-3 Access Enforcement • AC-5 Separation of Duties • AC-6 Least Privilege • IA-2 Identification and Authentication • IA-5 Authenticator Management • AU-12 Audit Record Generation • AU-6 Audit Record Review, Analysis, and Reporting • SI-4 System Monitoring</t>
  </si>
  <si>
    <t>IA-2 Identification and Authentication • IA-5 Authenticator Management • AC-3 Access Enforcement • SC-8 Transmission Confidentiality and Integrity • SC-13 Cryptographic Protection • SC-7 Boundary Protection • SC-5 Denial of Service Protection • SI-4 System Monitoring • AU-12 Audit Record Generation</t>
  </si>
  <si>
    <t>CM-2 Baseline Configuration • CM-6 Configuration Settings • SI-2 Flaw Remediation • SC-7 Boundary Protection • SC-32 System Partitioning • CM-7 Least Functionality</t>
  </si>
  <si>
    <t>SC-5 Denial of Service Protection • SI-4 System Monitoring • AU-12 Audit Record Generation • AC-6 Least Privilege</t>
  </si>
  <si>
    <t>AC-3 Access Enforcement • AC-6 Least Privilege • SC-7 Boundary Protection • SC-32 System Partitioning • SI-4 System Monitoring • SI-7 Software, Firmware, and Information Integrity</t>
  </si>
  <si>
    <t>SC-32 System Partitioning • CM-2 Baseline Configuration • CM-3 Configuration Change Control • AC-4 Information Flow Enforcement • SC-7 Boundary Protection</t>
  </si>
  <si>
    <t>SR-3 Supply Chain Controls and Processes • SR-5 Acquisition Strategies, Tools, and Methods • SR-6 Supplier Assessments and Reviews • SA-12 Supply Chain Protection • RA-3 Risk Assessment • RA-5 Vulnerability Monitoring and Scanning</t>
  </si>
  <si>
    <t>SR-3 Supply Chain Controls and Processes • SR-6 Supplier Assessments and Reviews • SA-12 Supply Chain Protection • RA-5 Vulnerability Monitoring and Scanning • SI-7 Software, Firmware, and Information Integrity</t>
  </si>
  <si>
    <t>RA-3 Risk Assessment • RA-5 Vulnerability Monitoring and Scanning • SR-6 Supplier Assessments and Reviews • SA-12 Supply Chain Protection • PL-8 Information Security Architecture</t>
  </si>
  <si>
    <t>CM-8 System Component Inventory • SR-3 Supply Chain Controls and Processes • RA-5 Vulnerability Monitoring and Scanning • SA-10 Developer Configuration Management</t>
  </si>
  <si>
    <t>RA-5 Vulnerability Monitoring and Scanning • SI-2 Flaw Remediation • SR-6 Supplier Assessments and Reviews • SI-4 System Monitoring</t>
  </si>
  <si>
    <t>SA-11 Developer Testing and Evaluation • CA-2 Control Assessments • CA-7 Continuous Monitoring • SI-4 System Monitoring • RA-3 Risk Assessment</t>
  </si>
  <si>
    <t>AC-4 Information Flow Enforcement • SI-4 System Monitoring • AU-6 Audit Record Review, Analysis, and Reporting • IR-4 Incident Handling</t>
  </si>
  <si>
    <t>AU-2 Event Logging • AU-3 Content of Audit Records • AU-12 Audit Record Generation • AU-6 Audit Record Review, Analysis, and Reporting • SI-4 System Monitoring • AR-4 Privacy Monitoring and Auditing</t>
  </si>
  <si>
    <t>PL-2 System Security and Privacy Plans • SA-15 Development Process, Standards, and Tools • PM-1 Information Security Program Plan</t>
  </si>
  <si>
    <t>PL-1 Security and Privacy Policies and Procedures • PL-2 System Security and Privacy Plans • AC-4 Information Flow Enforcement</t>
  </si>
  <si>
    <t>SA-11 Developer Testing and Evaluation • SI-4 System Monitoring • CA-7 Continuous Monitoring • AU-6 Audit Record Review, Analysis, and Reporting</t>
  </si>
  <si>
    <t>SA-15 Development Process, Standards, and Tools • SA-11 Developer Testing and Evaluation • SI-7 Software, Firmware, and Information Integrity • RA-3 Risk Assessment • SI-4 System Monitoring</t>
  </si>
  <si>
    <t>SI-4 System Monitoring • CA-7 Continuous Monitoring • AU-12 Audit Record Generation • AU-6 Audit Record Review, Analysis, and Reporting • IR-4 Incident Handling</t>
  </si>
  <si>
    <t>SI-4 System Monitoring • SI-10 Information Input Validation • SC-5 Denial of Service Protection • AU-12 Audit Record Generation • IR-4 Incident Handling</t>
  </si>
  <si>
    <t>AU-2 Event Logging • AU-3 Content of Audit Records • AU-12 Audit Record Generation • CM-3 Configuration Change Control • SA-10 Developer Configuration Management</t>
  </si>
  <si>
    <t>SI-4 System Monitoring • CA-7 Continuous Monitoring • IR-4 Incident Handling • SA-11 Developer Testing and Evaluation</t>
  </si>
  <si>
    <t>SI-4 System Monitoring • AU-6 Audit Record Review, Analysis, and Reporting • IR-4 Incident Handling • IR-5 Incident Monitoring</t>
  </si>
  <si>
    <t>AU-11 Audit Record Retention • AU-8 Time Stamps • IR-4 Incident Handling • IR-5 Incident Monitoring • CP-9 System Backup</t>
  </si>
  <si>
    <t>IR-4 Incident Handling • IR-5 Incident Monitoring • AU-6 Audit Record Review, Analysis, and Reporting • RA-3 Risk Assessment</t>
  </si>
  <si>
    <t>SI-7 Software, Firmware, and Information Integrity • AC-3 Access Enforcement • AC-6 Least Privilege • CM-3 Configuration Change Control • AU-12 Audit Record Generation • SI-4 System Monitoring</t>
  </si>
  <si>
    <t>AU-3 Content of Audit Records • AU-12 Audit Record Generation • CM-8 System Component Inventory • SR-3 Supply Chain Controls and Processes</t>
  </si>
  <si>
    <t>AC-3 Access Enforcement • AC-6 Least Privilege • AC-16 Security and Privacy Attributes • IA-2 Identification and Authentication • SC-28 Protection of Information at Rest • PL-1 Security and Privacy Policies and Procedures</t>
  </si>
  <si>
    <t>SI-7 Software, Firmware, and Information Integrity • SI-4 System Monitoring • SA-11 Developer Testing and Evaluation • AU-6 Audit Record Review, Analysis, and Reporting</t>
  </si>
  <si>
    <t>SC-28 Protection of Information at Rest • SC-13 Cryptographic Protection • AC-3 Access Enforcement • SI-4 System Monitoring • CP-9 System Backup • CP-10 System Recovery and Reconstitution</t>
  </si>
  <si>
    <t>DM-1 Minimization of Personally Identifiable Information • DM-2 Data Retention and Disposal • AR-2 Privacy Impact and Risk Assessment</t>
  </si>
  <si>
    <t>SA-11 Developer Testing and Evaluation • SA-15 Development Process, Standards, and Tools • SI-7 Software, Firmware, and Information Integrity</t>
  </si>
  <si>
    <t>AR-2 Privacy Impact and Risk Assessment • DM-1 Minimization of Personally Identifiable Information • SI-7 Software, Firmware, and Information Integrity • RA-3 Risk Assessment</t>
  </si>
  <si>
    <t>SI-7 Software, Firmware, and Information Integrity • CM-3 Configuration Change Control • CM-5 Access Restrictions for Change • SA-10 Developer Configuration Management • AU-12 Audit Record Generation • SI-4 System Monitoring</t>
  </si>
  <si>
    <t>AC-3 Access Enforcement • AC-6 Least Privilege • SC-28 Protection of Information at Rest • SC-13 Cryptographic Protection • SC-32 System Partitioning</t>
  </si>
  <si>
    <t>CM-3 Configuration Change Control • CM-5 Access Restrictions for Change • SA-10 Developer Configuration Management • SA-11 Developer Testing and Evaluation • AU-12 Audit Record Generation</t>
  </si>
  <si>
    <t>PT-3 Personally Identifiable Information Processing Purposes • DM-1 Minimization of Personally Identifiable Information • AR-2 Privacy Impact and Risk Assessment • AC-4 Information Flow Enforcement</t>
  </si>
  <si>
    <t>SI-7 Software, Firmware, and Information Integrity • AU-12 Audit Record Generation • SR-3 Supply Chain Controls and Processes</t>
  </si>
  <si>
    <t>SA-11 Developer Testing and Evaluation • SA-10 Developer Configuration Management • CM-3 Configuration Change Control • SI-7 Software, Firmware, and Information Integrity • CA-2 Control Assessments</t>
  </si>
  <si>
    <t>SI-4 System Monitoring • CA-7 Continuous Monitoring • SI-7 Software, Firmware, and Information Integrity • IR-4 Incident Handling</t>
  </si>
  <si>
    <t>SC-12 Cryptographic Key Establishment and Management • SC-13 Cryptographic Protection • SC-28 Protection of Information at Rest • SI-7 Software, Firmware, and Information Integrity • AC-6 Least Privilege</t>
  </si>
  <si>
    <t>AC-3 Access Enforcement • CM-3 Configuration Change Control • CM-5 Access Restrictions for Change • SI-7 Software, Firmware, and Information Integrity • AU-2 Event Logging • AU-12 Audit Record Generation</t>
  </si>
  <si>
    <t>SA-11 Developer Testing and Evaluation • CA-2 Control Assessments • CA-7 Continuous Monitoring</t>
  </si>
  <si>
    <t>CP-2 Contingency Plan • CP-4 Contingency Plan Testing • CP-10 System Recovery and Reconstitution • SI-4 System Monitoring</t>
  </si>
  <si>
    <t>CP-2 Contingency Plan • CP-6 Alternate Storage Site • CP-7 Alternate Processing Site • CP-8 Telecommunications Services • CP-10 System Recovery and Reconstitution</t>
  </si>
  <si>
    <t>CA-2 Control Assessments • CA-7 Continuous Monitoring • RA-3 Risk Assessment • SA-11 Developer Testing and Evaluation</t>
  </si>
  <si>
    <t>CA-2 Control Assessments • CA-7 Continuous Monitoring • CP-4 Contingency Plan Testing • SA-11 Developer Testing and Evaluation</t>
  </si>
  <si>
    <t>IR-4 Incident Handling • IR-5 Incident Monitoring • IR-6 Incident Reporting • IR-8 Incident Response Plan</t>
  </si>
  <si>
    <t>IR-4 Incident Handling • IR-8 Incident Response Plan • SI-7 Software, Firmware, and Information Integrity • CP-10 System Recovery and Reconstitution</t>
  </si>
  <si>
    <t>IR-4 Incident Handling • AU-6 Audit Record Review, Analysis, and Reporting • AU-11 Audit Record Retention • AU-8 Time Stamps</t>
  </si>
  <si>
    <t>CP-2 Contingency Plan • CP-4 Contingency Plan Testing • CP-9 System Backup • CP-10 System Recovery and Reconstitution • IR-4 Incident Handling</t>
  </si>
  <si>
    <t>CP-2 Contingency Plan • CP-6 Alternate Storage Site • CP-7 Alternate Processing Site • CP-8 Telecommunications Services</t>
  </si>
  <si>
    <t>IR-4 Incident Handling • IR-8 Incident Response Plan • CA-7 Continuous Monitoring • PM-4 Plan of Action and Milestones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</si>
</sst>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b/>
      <sz val="13.5"/>
      <color theme="1"/>
      <name val="Aptos Narrow"/>
      <family val="2"/>
      <scheme val="minor"/>
    </font>
    <font>
      <b/>
      <sz val="18"/>
      <color theme="1"/>
      <name val="Aptos Narrow"/>
      <family val="2"/>
      <scheme val="minor"/>
    </font>
    <font>
      <b/>
      <sz val="24"/>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1" fillId="0" borderId="1" xfId="0" applyFont="1" applyBorder="1"/>
    <xf numFmtId="0" fontId="3" fillId="0" borderId="1" xfId="0" applyFont="1" applyBorder="1" applyAlignment="1">
      <alignment vertical="center"/>
    </xf>
    <xf numFmtId="0" fontId="0" fillId="0" borderId="1" xfId="0" applyBorder="1"/>
    <xf numFmtId="0" fontId="0" fillId="0" borderId="1" xfId="0" applyBorder="1" applyAlignment="1">
      <alignment horizontal="left" vertical="center" indent="1"/>
    </xf>
    <xf numFmtId="0" fontId="1" fillId="0" borderId="1" xfId="0" applyFont="1" applyBorder="1" applyAlignment="1">
      <alignment horizontal="left" vertical="center" indent="1"/>
    </xf>
    <xf numFmtId="0" fontId="1" fillId="0" borderId="0" xfId="0" applyFont="1"/>
    <xf numFmtId="0" fontId="1" fillId="0" borderId="0" xfId="0" applyFont="1" applyAlignment="1">
      <alignment wrapText="1"/>
    </xf>
    <xf numFmtId="0" fontId="0" fillId="0" borderId="0" xfId="0" applyAlignment="1">
      <alignment horizontal="center" vertical="center"/>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2"/>
    </xf>
    <xf numFmtId="0" fontId="0" fillId="0" borderId="0" xfId="0" applyAlignment="1">
      <alignment horizontal="left" wrapText="1"/>
    </xf>
    <xf numFmtId="0" fontId="0" fillId="0" borderId="0" xfId="0" applyAlignment="1">
      <alignment horizontal="center" vertical="center" wrapText="1"/>
    </xf>
    <xf numFmtId="0" fontId="1" fillId="0" borderId="0" xfId="0" applyFont="1" applyAlignment="1">
      <alignment horizontal="left" wrapText="1"/>
    </xf>
    <xf numFmtId="0" fontId="1" fillId="0" borderId="2" xfId="0" applyFont="1" applyBorder="1" applyAlignment="1">
      <alignment horizontal="center"/>
    </xf>
    <xf numFmtId="0" fontId="1" fillId="0" borderId="1" xfId="0" applyFont="1" applyBorder="1" applyAlignment="1">
      <alignment horizontal="center"/>
    </xf>
  </cellXfs>
  <cellStyles count="1">
    <cellStyle name="Normal" xfId="0" builtinId="0"/>
  </cellStyles>
  <dxfs count="11">
    <dxf>
      <fill>
        <patternFill>
          <bgColor rgb="FFFF0000"/>
        </patternFill>
      </fill>
    </dxf>
    <dxf>
      <fill>
        <patternFill>
          <bgColor theme="5"/>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theme="5"/>
        </patternFill>
      </fill>
    </dxf>
    <dxf>
      <fill>
        <patternFill>
          <bgColor rgb="FFFF0000"/>
        </patternFill>
      </fill>
    </dxf>
    <dxf>
      <fill>
        <patternFill>
          <bgColor rgb="FFFF0000"/>
        </patternFill>
      </fill>
    </dxf>
    <dxf>
      <fill>
        <patternFill>
          <bgColor theme="6"/>
        </patternFill>
      </fill>
    </dxf>
  </dxfs>
  <tableStyles count="0" defaultTableStyle="TableStyleMedium2" defaultPivotStyle="PivotStyleLight16"/>
  <colors>
    <mruColors>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filled"/>
        <c:varyColors val="0"/>
        <c:ser>
          <c:idx val="0"/>
          <c:order val="0"/>
          <c:spPr>
            <a:solidFill>
              <a:schemeClr val="accent1"/>
            </a:solidFill>
            <a:ln>
              <a:noFill/>
            </a:ln>
            <a:effectLst/>
          </c:spPr>
          <c:cat>
            <c:strRef>
              <c:f>'Radar Data'!$A$3:$A$18</c:f>
              <c:strCache>
                <c:ptCount val="16"/>
                <c:pt idx="0">
                  <c:v>Domain 1 – Scope Requirements</c:v>
                </c:pt>
                <c:pt idx="1">
                  <c:v>Domain 2 – AI Security Objectives</c:v>
                </c:pt>
                <c:pt idx="2">
                  <c:v>Domain 3 – Performance Monitoring</c:v>
                </c:pt>
                <c:pt idx="3">
                  <c:v>Domain 4 – Risk Management</c:v>
                </c:pt>
                <c:pt idx="4">
                  <c:v>DOMAIN 5 — DATA SECURITY &amp; POISONING PROTECTION</c:v>
                </c:pt>
                <c:pt idx="5">
                  <c:v>DOMAIN 6 — ADVERSARIAL &amp; ROBUSTNESS CONTROLS</c:v>
                </c:pt>
                <c:pt idx="6">
                  <c:v>DOMAIN 7 — MODEL INTEGRITY, SECURITY &amp; GOVERNANCE</c:v>
                </c:pt>
                <c:pt idx="7">
                  <c:v>DOMAIN 8 — API, INTERFACE &amp; INFERENCE SECURITY</c:v>
                </c:pt>
                <c:pt idx="8">
                  <c:v>DOMAIN 9 — INFRASTRUCTURE, ENVIRONMENT &amp; ACCESS SECURITY</c:v>
                </c:pt>
                <c:pt idx="9">
                  <c:v>DOMAIN 10— SUPPLY CHAIN &amp; THIRD-PARTY AI SECURITY</c:v>
                </c:pt>
                <c:pt idx="10">
                  <c:v>DOMAIN 11 — LLM &amp; GENERATIVE AI SECURITY</c:v>
                </c:pt>
                <c:pt idx="11">
                  <c:v>DOMAIN 12 — MONITORING, DETECTION &amp; FORENSICS</c:v>
                </c:pt>
                <c:pt idx="12">
                  <c:v>DOMAIN 13 — DATA SECURITY (Integrity, Protection &amp; Dataset Defense)</c:v>
                </c:pt>
                <c:pt idx="13">
                  <c:v>DOMAIN 14 — MODEL SECURITY (Integrity, Confidentiality &amp; Defense)</c:v>
                </c:pt>
                <c:pt idx="14">
                  <c:v>DOMAIN 15 — RESILIENCE, STRESS TESTING &amp; FAIL-SAFE CONTROLS</c:v>
                </c:pt>
                <c:pt idx="15">
                  <c:v>DOMAIN 16 — INCIDENT RESPONSE, RECOVERY &amp; CONTINUITY FOR AI SYSTEMS</c:v>
                </c:pt>
              </c:strCache>
            </c:strRef>
          </c:cat>
          <c:val>
            <c:numRef>
              <c:f>'Radar Data'!$B$3:$B$18</c:f>
              <c:numCache>
                <c:formatCode>General</c:formatCode>
                <c:ptCount val="16"/>
                <c:pt idx="0">
                  <c:v>76</c:v>
                </c:pt>
                <c:pt idx="1">
                  <c:v>23.333333333333332</c:v>
                </c:pt>
                <c:pt idx="2">
                  <c:v>60</c:v>
                </c:pt>
                <c:pt idx="3">
                  <c:v>60</c:v>
                </c:pt>
                <c:pt idx="4">
                  <c:v>60</c:v>
                </c:pt>
                <c:pt idx="5">
                  <c:v>60</c:v>
                </c:pt>
                <c:pt idx="6">
                  <c:v>60</c:v>
                </c:pt>
                <c:pt idx="7">
                  <c:v>60</c:v>
                </c:pt>
                <c:pt idx="8">
                  <c:v>60</c:v>
                </c:pt>
                <c:pt idx="9">
                  <c:v>60</c:v>
                </c:pt>
                <c:pt idx="10">
                  <c:v>60</c:v>
                </c:pt>
                <c:pt idx="11">
                  <c:v>60</c:v>
                </c:pt>
                <c:pt idx="12">
                  <c:v>60</c:v>
                </c:pt>
                <c:pt idx="13">
                  <c:v>62</c:v>
                </c:pt>
                <c:pt idx="14">
                  <c:v>80</c:v>
                </c:pt>
                <c:pt idx="15">
                  <c:v>80</c:v>
                </c:pt>
              </c:numCache>
            </c:numRef>
          </c:val>
          <c:extLst>
            <c:ext xmlns:c16="http://schemas.microsoft.com/office/drawing/2014/chart" uri="{C3380CC4-5D6E-409C-BE32-E72D297353CC}">
              <c16:uniqueId val="{00000000-73FE-47DB-A892-ED85540C5CAC}"/>
            </c:ext>
          </c:extLst>
        </c:ser>
        <c:dLbls>
          <c:showLegendKey val="0"/>
          <c:showVal val="0"/>
          <c:showCatName val="0"/>
          <c:showSerName val="0"/>
          <c:showPercent val="0"/>
          <c:showBubbleSize val="0"/>
        </c:dLbls>
        <c:axId val="1376765056"/>
        <c:axId val="1376763616"/>
      </c:radarChart>
      <c:catAx>
        <c:axId val="137676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63616"/>
        <c:crosses val="autoZero"/>
        <c:auto val="1"/>
        <c:lblAlgn val="ctr"/>
        <c:lblOffset val="100"/>
        <c:noMultiLvlLbl val="0"/>
      </c:catAx>
      <c:valAx>
        <c:axId val="137676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76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501650</xdr:colOff>
      <xdr:row>0</xdr:row>
      <xdr:rowOff>127000</xdr:rowOff>
    </xdr:from>
    <xdr:to>
      <xdr:col>24</xdr:col>
      <xdr:colOff>603249</xdr:colOff>
      <xdr:row>24</xdr:row>
      <xdr:rowOff>38100</xdr:rowOff>
    </xdr:to>
    <xdr:graphicFrame macro="">
      <xdr:nvGraphicFramePr>
        <xdr:cNvPr id="2" name="Chart 1">
          <a:extLst>
            <a:ext uri="{FF2B5EF4-FFF2-40B4-BE49-F238E27FC236}">
              <a16:creationId xmlns:a16="http://schemas.microsoft.com/office/drawing/2014/main" id="{9ED4D96B-488C-484D-2683-0121FC672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9BB8-E139-48A6-ADE3-264BFAAF6AAB}">
  <dimension ref="A1:X111"/>
  <sheetViews>
    <sheetView workbookViewId="0">
      <selection activeCell="A13" sqref="A13"/>
    </sheetView>
  </sheetViews>
  <sheetFormatPr defaultRowHeight="14.5" x14ac:dyDescent="0.35"/>
  <cols>
    <col min="1" max="1" width="214.54296875" customWidth="1"/>
    <col min="2" max="11" width="8.7265625" hidden="1" customWidth="1"/>
    <col min="12" max="12" width="1.6328125" hidden="1" customWidth="1"/>
    <col min="13" max="24" width="8.7265625" hidden="1" customWidth="1"/>
  </cols>
  <sheetData>
    <row r="1" spans="1:24" x14ac:dyDescent="0.35">
      <c r="A1" t="s">
        <v>545</v>
      </c>
    </row>
    <row r="3" spans="1:24" ht="23.5" x14ac:dyDescent="0.35">
      <c r="A3" s="20" t="s">
        <v>546</v>
      </c>
    </row>
    <row r="5" spans="1:24" x14ac:dyDescent="0.35">
      <c r="A5" s="15" t="s">
        <v>547</v>
      </c>
    </row>
    <row r="6" spans="1:24" x14ac:dyDescent="0.35">
      <c r="A6" t="s">
        <v>548</v>
      </c>
    </row>
    <row r="7" spans="1:24" x14ac:dyDescent="0.35">
      <c r="A7" t="s">
        <v>549</v>
      </c>
    </row>
    <row r="8" spans="1:24" ht="60" customHeight="1" x14ac:dyDescent="0.35">
      <c r="A8" s="25" t="s">
        <v>719</v>
      </c>
      <c r="B8" s="25"/>
      <c r="C8" s="25"/>
      <c r="D8" s="25"/>
      <c r="E8" s="25"/>
      <c r="F8" s="25"/>
      <c r="G8" s="25"/>
      <c r="H8" s="25"/>
      <c r="I8" s="25"/>
      <c r="J8" s="25"/>
      <c r="K8" s="25"/>
      <c r="L8" s="25"/>
      <c r="M8" s="25"/>
      <c r="N8" s="25"/>
      <c r="O8" s="25"/>
      <c r="P8" s="25"/>
      <c r="Q8" s="25"/>
      <c r="R8" s="25"/>
      <c r="S8" s="25"/>
      <c r="T8" s="25"/>
      <c r="U8" s="25"/>
      <c r="V8" s="25"/>
      <c r="W8" s="25"/>
      <c r="X8" s="25"/>
    </row>
    <row r="9" spans="1:24" ht="70" customHeight="1" x14ac:dyDescent="0.35">
      <c r="A9" s="23"/>
      <c r="B9" s="23"/>
      <c r="C9" s="23"/>
      <c r="D9" s="23"/>
      <c r="E9" s="23"/>
      <c r="F9" s="23"/>
      <c r="G9" s="23"/>
      <c r="H9" s="23"/>
      <c r="I9" s="23"/>
      <c r="J9" s="23"/>
      <c r="K9" s="23"/>
      <c r="L9" s="23"/>
      <c r="M9" s="23"/>
      <c r="N9" s="23"/>
      <c r="O9" s="23"/>
      <c r="P9" s="23"/>
      <c r="Q9" s="23"/>
      <c r="R9" s="23"/>
      <c r="S9" s="23"/>
      <c r="T9" s="23"/>
      <c r="U9" s="23"/>
      <c r="V9" s="23"/>
      <c r="W9" s="23"/>
      <c r="X9" s="23"/>
    </row>
    <row r="10" spans="1:24" x14ac:dyDescent="0.35">
      <c r="A10" s="15" t="s">
        <v>550</v>
      </c>
    </row>
    <row r="11" spans="1:24" x14ac:dyDescent="0.35">
      <c r="A11" t="s">
        <v>551</v>
      </c>
    </row>
    <row r="13" spans="1:24" ht="17.5" x14ac:dyDescent="0.35">
      <c r="A13" s="4" t="s">
        <v>552</v>
      </c>
    </row>
    <row r="14" spans="1:24" x14ac:dyDescent="0.35">
      <c r="A14" s="5" t="s">
        <v>553</v>
      </c>
    </row>
    <row r="15" spans="1:24" x14ac:dyDescent="0.35">
      <c r="A15" s="5" t="s">
        <v>554</v>
      </c>
    </row>
    <row r="16" spans="1:24" x14ac:dyDescent="0.35">
      <c r="A16" s="5" t="s">
        <v>555</v>
      </c>
    </row>
    <row r="17" spans="1:1" x14ac:dyDescent="0.35">
      <c r="A17" s="5" t="s">
        <v>561</v>
      </c>
    </row>
    <row r="18" spans="1:1" x14ac:dyDescent="0.35">
      <c r="A18" s="5" t="s">
        <v>559</v>
      </c>
    </row>
    <row r="19" spans="1:1" x14ac:dyDescent="0.35">
      <c r="A19" s="5" t="s">
        <v>560</v>
      </c>
    </row>
    <row r="21" spans="1:1" ht="17.5" x14ac:dyDescent="0.35">
      <c r="A21" s="4" t="s">
        <v>556</v>
      </c>
    </row>
    <row r="22" spans="1:1" x14ac:dyDescent="0.35">
      <c r="A22" s="5"/>
    </row>
    <row r="23" spans="1:1" x14ac:dyDescent="0.35">
      <c r="A23" s="5" t="s">
        <v>557</v>
      </c>
    </row>
    <row r="24" spans="1:1" x14ac:dyDescent="0.35">
      <c r="A24" s="5" t="s">
        <v>562</v>
      </c>
    </row>
    <row r="25" spans="1:1" x14ac:dyDescent="0.35">
      <c r="A25" s="5" t="s">
        <v>558</v>
      </c>
    </row>
    <row r="28" spans="1:1" ht="31" x14ac:dyDescent="0.35">
      <c r="A28" s="21" t="s">
        <v>563</v>
      </c>
    </row>
    <row r="30" spans="1:1" x14ac:dyDescent="0.35">
      <c r="A30" t="s">
        <v>564</v>
      </c>
    </row>
    <row r="31" spans="1:1" ht="17.5" x14ac:dyDescent="0.35">
      <c r="A31" s="4" t="s">
        <v>565</v>
      </c>
    </row>
    <row r="32" spans="1:1" x14ac:dyDescent="0.35">
      <c r="A32" s="5" t="s">
        <v>566</v>
      </c>
    </row>
    <row r="33" spans="1:1" x14ac:dyDescent="0.35">
      <c r="A33" s="5" t="s">
        <v>567</v>
      </c>
    </row>
    <row r="34" spans="1:1" x14ac:dyDescent="0.35">
      <c r="A34" s="5" t="s">
        <v>568</v>
      </c>
    </row>
    <row r="35" spans="1:1" x14ac:dyDescent="0.35">
      <c r="A35" s="5"/>
    </row>
    <row r="36" spans="1:1" x14ac:dyDescent="0.35">
      <c r="A36" s="22" t="s">
        <v>569</v>
      </c>
    </row>
    <row r="37" spans="1:1" x14ac:dyDescent="0.35">
      <c r="A37" s="22" t="s">
        <v>570</v>
      </c>
    </row>
    <row r="38" spans="1:1" x14ac:dyDescent="0.35">
      <c r="A38" s="22" t="s">
        <v>571</v>
      </c>
    </row>
    <row r="39" spans="1:1" x14ac:dyDescent="0.35">
      <c r="A39" s="22" t="s">
        <v>572</v>
      </c>
    </row>
    <row r="40" spans="1:1" x14ac:dyDescent="0.35">
      <c r="A40" s="22" t="s">
        <v>573</v>
      </c>
    </row>
    <row r="41" spans="1:1" x14ac:dyDescent="0.35">
      <c r="A41" s="22"/>
    </row>
    <row r="42" spans="1:1" ht="17.5" x14ac:dyDescent="0.35">
      <c r="A42" s="4" t="s">
        <v>574</v>
      </c>
    </row>
    <row r="43" spans="1:1" x14ac:dyDescent="0.35">
      <c r="A43" s="5" t="s">
        <v>575</v>
      </c>
    </row>
    <row r="44" spans="1:1" x14ac:dyDescent="0.35">
      <c r="A44" s="5" t="s">
        <v>576</v>
      </c>
    </row>
    <row r="45" spans="1:1" x14ac:dyDescent="0.35">
      <c r="A45" s="5" t="s">
        <v>577</v>
      </c>
    </row>
    <row r="46" spans="1:1" x14ac:dyDescent="0.35">
      <c r="A46" s="5" t="s">
        <v>578</v>
      </c>
    </row>
    <row r="48" spans="1:1" ht="31" x14ac:dyDescent="0.35">
      <c r="A48" s="21" t="s">
        <v>579</v>
      </c>
    </row>
    <row r="49" spans="1:1" x14ac:dyDescent="0.35">
      <c r="A49" t="s">
        <v>580</v>
      </c>
    </row>
    <row r="50" spans="1:1" ht="17.5" x14ac:dyDescent="0.35">
      <c r="A50" s="4" t="s">
        <v>565</v>
      </c>
    </row>
    <row r="51" spans="1:1" x14ac:dyDescent="0.35">
      <c r="A51" s="5"/>
    </row>
    <row r="52" spans="1:1" x14ac:dyDescent="0.35">
      <c r="A52" s="5" t="s">
        <v>581</v>
      </c>
    </row>
    <row r="53" spans="1:1" x14ac:dyDescent="0.35">
      <c r="A53" s="5" t="s">
        <v>582</v>
      </c>
    </row>
    <row r="54" spans="1:1" x14ac:dyDescent="0.35">
      <c r="A54" s="5" t="s">
        <v>583</v>
      </c>
    </row>
    <row r="56" spans="1:1" ht="17.5" x14ac:dyDescent="0.35">
      <c r="A56" s="4" t="s">
        <v>584</v>
      </c>
    </row>
    <row r="57" spans="1:1" x14ac:dyDescent="0.35">
      <c r="A57" s="5" t="s">
        <v>585</v>
      </c>
    </row>
    <row r="58" spans="1:1" x14ac:dyDescent="0.35">
      <c r="A58" s="5" t="s">
        <v>586</v>
      </c>
    </row>
    <row r="59" spans="1:1" x14ac:dyDescent="0.35">
      <c r="A59" s="5" t="s">
        <v>587</v>
      </c>
    </row>
    <row r="61" spans="1:1" ht="31" x14ac:dyDescent="0.35">
      <c r="A61" s="21" t="s">
        <v>588</v>
      </c>
    </row>
    <row r="63" spans="1:1" x14ac:dyDescent="0.35">
      <c r="A63" t="s">
        <v>589</v>
      </c>
    </row>
    <row r="64" spans="1:1" ht="17.5" x14ac:dyDescent="0.35">
      <c r="A64" s="4" t="s">
        <v>590</v>
      </c>
    </row>
    <row r="65" spans="1:1" x14ac:dyDescent="0.35">
      <c r="A65" s="5" t="s">
        <v>591</v>
      </c>
    </row>
    <row r="66" spans="1:1" x14ac:dyDescent="0.35">
      <c r="A66" s="5" t="s">
        <v>592</v>
      </c>
    </row>
    <row r="67" spans="1:1" x14ac:dyDescent="0.35">
      <c r="A67" s="22" t="s">
        <v>593</v>
      </c>
    </row>
    <row r="68" spans="1:1" x14ac:dyDescent="0.35">
      <c r="A68" s="22" t="s">
        <v>594</v>
      </c>
    </row>
    <row r="69" spans="1:1" x14ac:dyDescent="0.35">
      <c r="A69" s="22" t="s">
        <v>595</v>
      </c>
    </row>
    <row r="71" spans="1:1" ht="17.5" x14ac:dyDescent="0.35">
      <c r="A71" s="4" t="s">
        <v>584</v>
      </c>
    </row>
    <row r="72" spans="1:1" x14ac:dyDescent="0.35">
      <c r="A72" s="5"/>
    </row>
    <row r="73" spans="1:1" x14ac:dyDescent="0.35">
      <c r="A73" s="5" t="s">
        <v>596</v>
      </c>
    </row>
    <row r="74" spans="1:1" x14ac:dyDescent="0.35">
      <c r="A74" s="5" t="s">
        <v>597</v>
      </c>
    </row>
    <row r="76" spans="1:1" ht="31" x14ac:dyDescent="0.35">
      <c r="A76" s="21" t="s">
        <v>605</v>
      </c>
    </row>
    <row r="78" spans="1:1" x14ac:dyDescent="0.35">
      <c r="A78" t="s">
        <v>598</v>
      </c>
    </row>
    <row r="79" spans="1:1" x14ac:dyDescent="0.35">
      <c r="A79" s="5" t="s">
        <v>599</v>
      </c>
    </row>
    <row r="80" spans="1:1" x14ac:dyDescent="0.35">
      <c r="A80" s="5" t="s">
        <v>600</v>
      </c>
    </row>
    <row r="81" spans="1:1" x14ac:dyDescent="0.35">
      <c r="A81" s="5" t="s">
        <v>601</v>
      </c>
    </row>
    <row r="82" spans="1:1" x14ac:dyDescent="0.35">
      <c r="A82" s="5" t="s">
        <v>602</v>
      </c>
    </row>
    <row r="83" spans="1:1" x14ac:dyDescent="0.35">
      <c r="A83" s="5" t="s">
        <v>603</v>
      </c>
    </row>
    <row r="84" spans="1:1" x14ac:dyDescent="0.35">
      <c r="A84" t="s">
        <v>604</v>
      </c>
    </row>
    <row r="86" spans="1:1" ht="31" x14ac:dyDescent="0.35">
      <c r="A86" s="21" t="s">
        <v>606</v>
      </c>
    </row>
    <row r="87" spans="1:1" x14ac:dyDescent="0.35">
      <c r="A87" s="5"/>
    </row>
    <row r="88" spans="1:1" x14ac:dyDescent="0.35">
      <c r="A88" s="6" t="s">
        <v>607</v>
      </c>
    </row>
    <row r="89" spans="1:1" x14ac:dyDescent="0.35">
      <c r="A89" s="22" t="s">
        <v>608</v>
      </c>
    </row>
    <row r="90" spans="1:1" x14ac:dyDescent="0.35">
      <c r="A90" s="22" t="s">
        <v>609</v>
      </c>
    </row>
    <row r="91" spans="1:1" x14ac:dyDescent="0.35">
      <c r="A91" s="22" t="s">
        <v>610</v>
      </c>
    </row>
    <row r="92" spans="1:1" x14ac:dyDescent="0.35">
      <c r="A92" s="5"/>
    </row>
    <row r="93" spans="1:1" x14ac:dyDescent="0.35">
      <c r="A93" s="6" t="s">
        <v>611</v>
      </c>
    </row>
    <row r="94" spans="1:1" x14ac:dyDescent="0.35">
      <c r="A94" s="22" t="s">
        <v>612</v>
      </c>
    </row>
    <row r="95" spans="1:1" x14ac:dyDescent="0.35">
      <c r="A95" s="22" t="s">
        <v>613</v>
      </c>
    </row>
    <row r="96" spans="1:1" x14ac:dyDescent="0.35">
      <c r="A96" s="22" t="s">
        <v>614</v>
      </c>
    </row>
    <row r="97" spans="1:1" x14ac:dyDescent="0.35">
      <c r="A97" s="5"/>
    </row>
    <row r="98" spans="1:1" x14ac:dyDescent="0.35">
      <c r="A98" s="6" t="s">
        <v>615</v>
      </c>
    </row>
    <row r="99" spans="1:1" x14ac:dyDescent="0.35">
      <c r="A99" s="22" t="s">
        <v>616</v>
      </c>
    </row>
    <row r="100" spans="1:1" x14ac:dyDescent="0.35">
      <c r="A100" s="5"/>
    </row>
    <row r="101" spans="1:1" x14ac:dyDescent="0.35">
      <c r="A101" s="6" t="s">
        <v>617</v>
      </c>
    </row>
    <row r="102" spans="1:1" x14ac:dyDescent="0.35">
      <c r="A102" s="22" t="s">
        <v>618</v>
      </c>
    </row>
    <row r="103" spans="1:1" x14ac:dyDescent="0.35">
      <c r="A103" s="5"/>
    </row>
    <row r="104" spans="1:1" x14ac:dyDescent="0.35">
      <c r="A104" s="6" t="s">
        <v>619</v>
      </c>
    </row>
    <row r="105" spans="1:1" x14ac:dyDescent="0.35">
      <c r="A105" s="22" t="s">
        <v>620</v>
      </c>
    </row>
    <row r="106" spans="1:1" x14ac:dyDescent="0.35">
      <c r="A106" s="22" t="s">
        <v>621</v>
      </c>
    </row>
    <row r="108" spans="1:1" ht="31" x14ac:dyDescent="0.35">
      <c r="A108" s="21" t="s">
        <v>622</v>
      </c>
    </row>
    <row r="109" spans="1:1" x14ac:dyDescent="0.35">
      <c r="A109" s="5" t="s">
        <v>623</v>
      </c>
    </row>
    <row r="110" spans="1:1" x14ac:dyDescent="0.35">
      <c r="A110" s="5" t="s">
        <v>624</v>
      </c>
    </row>
    <row r="111" spans="1:1" x14ac:dyDescent="0.35">
      <c r="A111" s="5" t="s">
        <v>625</v>
      </c>
    </row>
  </sheetData>
  <mergeCells count="1">
    <mergeCell ref="A8:X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DFB3-0E1C-4773-9110-36B528B14813}">
  <dimension ref="A1:J100"/>
  <sheetViews>
    <sheetView tabSelected="1" workbookViewId="0">
      <pane xSplit="2" ySplit="1" topLeftCell="F2" activePane="bottomRight" state="frozen"/>
      <selection pane="topRight" activeCell="B1" sqref="B1"/>
      <selection pane="bottomLeft" activeCell="A3" sqref="A3"/>
      <selection pane="bottomRight" activeCell="G2" sqref="G2"/>
    </sheetView>
  </sheetViews>
  <sheetFormatPr defaultColWidth="31.54296875" defaultRowHeight="14.5" x14ac:dyDescent="0.35"/>
  <cols>
    <col min="1" max="1" width="38.26953125" style="18" customWidth="1"/>
    <col min="2" max="2" width="31.54296875" style="17"/>
    <col min="5" max="5" width="51.26953125" customWidth="1"/>
  </cols>
  <sheetData>
    <row r="1" spans="1:10" x14ac:dyDescent="0.35">
      <c r="A1" s="1" t="s">
        <v>467</v>
      </c>
      <c r="B1" s="1" t="s">
        <v>0</v>
      </c>
      <c r="C1" s="1" t="s">
        <v>1</v>
      </c>
      <c r="D1" s="1" t="s">
        <v>2</v>
      </c>
      <c r="E1" s="1" t="s">
        <v>3</v>
      </c>
      <c r="F1" s="1" t="s">
        <v>4</v>
      </c>
      <c r="G1" s="1" t="s">
        <v>470</v>
      </c>
      <c r="H1" s="1" t="s">
        <v>471</v>
      </c>
      <c r="I1" s="1" t="s">
        <v>472</v>
      </c>
      <c r="J1" s="1" t="s">
        <v>469</v>
      </c>
    </row>
    <row r="2" spans="1:10" ht="333.5" x14ac:dyDescent="0.35">
      <c r="A2" s="16" t="s">
        <v>474</v>
      </c>
      <c r="B2" s="1">
        <v>1.1000000000000001</v>
      </c>
      <c r="C2" s="3" t="s">
        <v>11</v>
      </c>
      <c r="D2" s="2" t="s">
        <v>41</v>
      </c>
      <c r="E2" s="3" t="s">
        <v>543</v>
      </c>
      <c r="F2" s="2" t="s">
        <v>544</v>
      </c>
      <c r="G2">
        <v>4</v>
      </c>
      <c r="H2">
        <v>3</v>
      </c>
      <c r="I2">
        <f>G2*H2</f>
        <v>12</v>
      </c>
    </row>
    <row r="3" spans="1:10" ht="377" x14ac:dyDescent="0.35">
      <c r="A3" s="16" t="s">
        <v>474</v>
      </c>
      <c r="B3" s="1">
        <v>1.2</v>
      </c>
      <c r="C3" s="3" t="s">
        <v>42</v>
      </c>
      <c r="D3" s="2" t="s">
        <v>43</v>
      </c>
      <c r="E3" s="3" t="s">
        <v>707</v>
      </c>
      <c r="F3" s="2" t="s">
        <v>708</v>
      </c>
      <c r="G3">
        <v>3</v>
      </c>
      <c r="H3">
        <v>3</v>
      </c>
      <c r="I3">
        <f>G3*H3</f>
        <v>9</v>
      </c>
    </row>
    <row r="4" spans="1:10" ht="406" x14ac:dyDescent="0.35">
      <c r="A4" s="16" t="s">
        <v>474</v>
      </c>
      <c r="B4" s="1">
        <v>1.3</v>
      </c>
      <c r="C4" s="3" t="s">
        <v>44</v>
      </c>
      <c r="D4" s="2" t="s">
        <v>45</v>
      </c>
      <c r="E4" s="3" t="s">
        <v>709</v>
      </c>
      <c r="F4" s="2" t="s">
        <v>710</v>
      </c>
      <c r="G4">
        <v>5</v>
      </c>
      <c r="H4">
        <v>3</v>
      </c>
      <c r="I4">
        <f t="shared" ref="I4:I57" si="0">G4*H4</f>
        <v>15</v>
      </c>
    </row>
    <row r="5" spans="1:10" ht="304.5" x14ac:dyDescent="0.35">
      <c r="A5" s="16" t="s">
        <v>474</v>
      </c>
      <c r="B5" s="1">
        <v>1.4</v>
      </c>
      <c r="C5" s="3" t="s">
        <v>46</v>
      </c>
      <c r="D5" s="2" t="s">
        <v>47</v>
      </c>
      <c r="E5" s="3" t="s">
        <v>711</v>
      </c>
      <c r="F5" s="2" t="s">
        <v>712</v>
      </c>
      <c r="G5">
        <v>3</v>
      </c>
      <c r="H5">
        <v>3</v>
      </c>
      <c r="I5">
        <f t="shared" si="0"/>
        <v>9</v>
      </c>
    </row>
    <row r="6" spans="1:10" ht="362.5" x14ac:dyDescent="0.35">
      <c r="A6" s="16" t="s">
        <v>474</v>
      </c>
      <c r="B6" s="1">
        <v>1.5</v>
      </c>
      <c r="C6" s="3" t="s">
        <v>48</v>
      </c>
      <c r="D6" s="2" t="s">
        <v>49</v>
      </c>
      <c r="E6" s="3" t="s">
        <v>713</v>
      </c>
      <c r="F6" s="2" t="s">
        <v>714</v>
      </c>
      <c r="G6">
        <v>4</v>
      </c>
      <c r="H6">
        <v>3</v>
      </c>
      <c r="I6">
        <f t="shared" si="0"/>
        <v>12</v>
      </c>
    </row>
    <row r="7" spans="1:10" ht="261" x14ac:dyDescent="0.35">
      <c r="A7" s="16" t="s">
        <v>473</v>
      </c>
      <c r="B7" s="1">
        <v>2.1</v>
      </c>
      <c r="C7" s="3" t="s">
        <v>50</v>
      </c>
      <c r="D7" s="2" t="s">
        <v>51</v>
      </c>
      <c r="E7" s="3" t="s">
        <v>715</v>
      </c>
      <c r="F7" s="2" t="s">
        <v>716</v>
      </c>
      <c r="G7">
        <v>0</v>
      </c>
      <c r="H7">
        <v>3</v>
      </c>
      <c r="I7">
        <f t="shared" si="0"/>
        <v>0</v>
      </c>
    </row>
    <row r="8" spans="1:10" ht="333.5" x14ac:dyDescent="0.35">
      <c r="A8" s="16" t="s">
        <v>473</v>
      </c>
      <c r="B8" s="1">
        <v>2.2000000000000002</v>
      </c>
      <c r="C8" s="3" t="s">
        <v>52</v>
      </c>
      <c r="D8" s="2" t="s">
        <v>53</v>
      </c>
      <c r="E8" s="3" t="s">
        <v>718</v>
      </c>
      <c r="F8" s="2" t="s">
        <v>717</v>
      </c>
      <c r="G8">
        <v>2</v>
      </c>
      <c r="H8">
        <v>3</v>
      </c>
      <c r="I8">
        <f t="shared" si="0"/>
        <v>6</v>
      </c>
    </row>
    <row r="9" spans="1:10" ht="319" x14ac:dyDescent="0.35">
      <c r="A9" s="16" t="s">
        <v>473</v>
      </c>
      <c r="B9" s="1">
        <v>2.2999999999999998</v>
      </c>
      <c r="C9" s="3" t="s">
        <v>5</v>
      </c>
      <c r="D9" s="2" t="s">
        <v>54</v>
      </c>
      <c r="E9" s="3" t="s">
        <v>55</v>
      </c>
      <c r="F9" s="2" t="s">
        <v>56</v>
      </c>
      <c r="G9">
        <v>1</v>
      </c>
      <c r="H9">
        <v>3</v>
      </c>
      <c r="I9">
        <f t="shared" si="0"/>
        <v>3</v>
      </c>
    </row>
    <row r="10" spans="1:10" ht="319" x14ac:dyDescent="0.35">
      <c r="A10" s="16" t="s">
        <v>473</v>
      </c>
      <c r="B10" s="1">
        <v>2.4</v>
      </c>
      <c r="C10" s="3" t="s">
        <v>6</v>
      </c>
      <c r="D10" s="2" t="s">
        <v>57</v>
      </c>
      <c r="E10" s="3" t="s">
        <v>58</v>
      </c>
      <c r="F10" s="2" t="s">
        <v>59</v>
      </c>
      <c r="G10">
        <v>1</v>
      </c>
      <c r="H10">
        <v>3</v>
      </c>
      <c r="I10">
        <f t="shared" si="0"/>
        <v>3</v>
      </c>
    </row>
    <row r="11" spans="1:10" ht="333.5" x14ac:dyDescent="0.35">
      <c r="A11" s="16" t="s">
        <v>473</v>
      </c>
      <c r="B11" s="1">
        <v>2.5</v>
      </c>
      <c r="C11" s="3" t="s">
        <v>60</v>
      </c>
      <c r="D11" s="2" t="s">
        <v>61</v>
      </c>
      <c r="E11" s="3" t="s">
        <v>62</v>
      </c>
      <c r="F11" s="2" t="s">
        <v>63</v>
      </c>
      <c r="G11">
        <v>1</v>
      </c>
      <c r="H11">
        <v>3</v>
      </c>
      <c r="I11">
        <f t="shared" si="0"/>
        <v>3</v>
      </c>
    </row>
    <row r="12" spans="1:10" ht="275.5" x14ac:dyDescent="0.35">
      <c r="A12" s="16" t="s">
        <v>473</v>
      </c>
      <c r="B12" s="1">
        <v>2.6</v>
      </c>
      <c r="C12" s="3" t="s">
        <v>64</v>
      </c>
      <c r="D12" s="2" t="s">
        <v>65</v>
      </c>
      <c r="E12" s="3" t="s">
        <v>66</v>
      </c>
      <c r="F12" s="2" t="s">
        <v>67</v>
      </c>
      <c r="G12">
        <v>2</v>
      </c>
      <c r="H12">
        <v>3</v>
      </c>
      <c r="I12">
        <f t="shared" si="0"/>
        <v>6</v>
      </c>
    </row>
    <row r="13" spans="1:10" ht="348" x14ac:dyDescent="0.35">
      <c r="A13" s="16" t="s">
        <v>475</v>
      </c>
      <c r="B13" s="1">
        <v>3.1</v>
      </c>
      <c r="C13" s="3" t="s">
        <v>68</v>
      </c>
      <c r="D13" s="2" t="s">
        <v>69</v>
      </c>
      <c r="E13" s="3" t="s">
        <v>70</v>
      </c>
      <c r="F13" s="2" t="s">
        <v>71</v>
      </c>
      <c r="G13">
        <v>3</v>
      </c>
      <c r="H13">
        <v>3</v>
      </c>
      <c r="I13">
        <f t="shared" si="0"/>
        <v>9</v>
      </c>
    </row>
    <row r="14" spans="1:10" ht="319" x14ac:dyDescent="0.35">
      <c r="A14" s="16" t="s">
        <v>475</v>
      </c>
      <c r="B14" s="1">
        <v>3.2</v>
      </c>
      <c r="C14" s="3" t="s">
        <v>7</v>
      </c>
      <c r="D14" s="2" t="s">
        <v>72</v>
      </c>
      <c r="E14" s="3" t="s">
        <v>73</v>
      </c>
      <c r="F14" s="2" t="s">
        <v>74</v>
      </c>
      <c r="G14">
        <v>3</v>
      </c>
      <c r="H14">
        <v>3</v>
      </c>
      <c r="I14">
        <f t="shared" si="0"/>
        <v>9</v>
      </c>
    </row>
    <row r="15" spans="1:10" ht="275.5" x14ac:dyDescent="0.35">
      <c r="A15" s="16" t="s">
        <v>475</v>
      </c>
      <c r="B15" s="1">
        <v>3.3</v>
      </c>
      <c r="C15" s="3" t="s">
        <v>8</v>
      </c>
      <c r="D15" s="2" t="s">
        <v>75</v>
      </c>
      <c r="E15" s="3" t="s">
        <v>76</v>
      </c>
      <c r="F15" s="2" t="s">
        <v>77</v>
      </c>
      <c r="G15">
        <v>3</v>
      </c>
      <c r="H15">
        <v>3</v>
      </c>
      <c r="I15">
        <f t="shared" si="0"/>
        <v>9</v>
      </c>
    </row>
    <row r="16" spans="1:10" ht="348" x14ac:dyDescent="0.35">
      <c r="A16" s="16" t="s">
        <v>475</v>
      </c>
      <c r="B16" s="1">
        <v>3.4</v>
      </c>
      <c r="C16" s="3" t="s">
        <v>78</v>
      </c>
      <c r="D16" s="2" t="s">
        <v>79</v>
      </c>
      <c r="E16" s="3" t="s">
        <v>80</v>
      </c>
      <c r="F16" s="2" t="s">
        <v>81</v>
      </c>
      <c r="G16">
        <v>3</v>
      </c>
      <c r="H16">
        <v>3</v>
      </c>
      <c r="I16">
        <f t="shared" si="0"/>
        <v>9</v>
      </c>
    </row>
    <row r="17" spans="1:9" ht="377" x14ac:dyDescent="0.35">
      <c r="A17" s="16" t="s">
        <v>475</v>
      </c>
      <c r="B17" s="1">
        <v>3.5</v>
      </c>
      <c r="C17" s="3" t="s">
        <v>9</v>
      </c>
      <c r="D17" s="2" t="s">
        <v>82</v>
      </c>
      <c r="E17" s="3" t="s">
        <v>83</v>
      </c>
      <c r="F17" s="2" t="s">
        <v>84</v>
      </c>
      <c r="G17">
        <v>3</v>
      </c>
      <c r="H17">
        <v>3</v>
      </c>
      <c r="I17">
        <f t="shared" si="0"/>
        <v>9</v>
      </c>
    </row>
    <row r="18" spans="1:9" ht="348" x14ac:dyDescent="0.35">
      <c r="A18" s="16" t="s">
        <v>475</v>
      </c>
      <c r="B18" s="1">
        <v>3.6</v>
      </c>
      <c r="C18" s="3" t="s">
        <v>10</v>
      </c>
      <c r="D18" s="2" t="s">
        <v>85</v>
      </c>
      <c r="E18" s="3" t="s">
        <v>86</v>
      </c>
      <c r="F18" s="2" t="s">
        <v>87</v>
      </c>
      <c r="G18">
        <v>3</v>
      </c>
      <c r="H18">
        <v>3</v>
      </c>
      <c r="I18">
        <f t="shared" si="0"/>
        <v>9</v>
      </c>
    </row>
    <row r="19" spans="1:9" ht="391.5" x14ac:dyDescent="0.35">
      <c r="A19" s="16" t="s">
        <v>476</v>
      </c>
      <c r="B19" s="1">
        <v>4.0999999999999996</v>
      </c>
      <c r="C19" s="3" t="s">
        <v>12</v>
      </c>
      <c r="D19" s="2" t="s">
        <v>88</v>
      </c>
      <c r="E19" s="3" t="s">
        <v>89</v>
      </c>
      <c r="F19" s="2" t="s">
        <v>90</v>
      </c>
      <c r="G19">
        <v>3</v>
      </c>
      <c r="H19">
        <v>3</v>
      </c>
      <c r="I19">
        <f t="shared" si="0"/>
        <v>9</v>
      </c>
    </row>
    <row r="20" spans="1:9" ht="377" x14ac:dyDescent="0.35">
      <c r="A20" s="16" t="s">
        <v>476</v>
      </c>
      <c r="B20" s="1">
        <v>4.2</v>
      </c>
      <c r="C20" s="3" t="s">
        <v>13</v>
      </c>
      <c r="D20" s="2" t="s">
        <v>91</v>
      </c>
      <c r="E20" s="3" t="s">
        <v>92</v>
      </c>
      <c r="F20" s="2" t="s">
        <v>93</v>
      </c>
      <c r="G20">
        <v>3</v>
      </c>
      <c r="H20">
        <v>3</v>
      </c>
      <c r="I20">
        <f t="shared" si="0"/>
        <v>9</v>
      </c>
    </row>
    <row r="21" spans="1:9" ht="319" x14ac:dyDescent="0.35">
      <c r="A21" s="16" t="s">
        <v>476</v>
      </c>
      <c r="B21" s="1">
        <v>4.3</v>
      </c>
      <c r="C21" s="3" t="s">
        <v>14</v>
      </c>
      <c r="D21" s="2" t="s">
        <v>94</v>
      </c>
      <c r="E21" s="3" t="s">
        <v>95</v>
      </c>
      <c r="F21" s="2" t="s">
        <v>96</v>
      </c>
      <c r="G21">
        <v>3</v>
      </c>
      <c r="H21">
        <v>3</v>
      </c>
      <c r="I21">
        <f t="shared" si="0"/>
        <v>9</v>
      </c>
    </row>
    <row r="22" spans="1:9" ht="362.5" x14ac:dyDescent="0.35">
      <c r="A22" s="16" t="s">
        <v>476</v>
      </c>
      <c r="B22" s="1">
        <v>4.4000000000000004</v>
      </c>
      <c r="C22" s="3" t="s">
        <v>15</v>
      </c>
      <c r="D22" s="2" t="s">
        <v>97</v>
      </c>
      <c r="E22" s="3" t="s">
        <v>98</v>
      </c>
      <c r="F22" s="2" t="s">
        <v>99</v>
      </c>
      <c r="G22">
        <v>3</v>
      </c>
      <c r="H22">
        <v>3</v>
      </c>
      <c r="I22">
        <f t="shared" si="0"/>
        <v>9</v>
      </c>
    </row>
    <row r="23" spans="1:9" ht="304.5" x14ac:dyDescent="0.35">
      <c r="A23" s="16" t="s">
        <v>476</v>
      </c>
      <c r="B23" s="1">
        <v>4.5</v>
      </c>
      <c r="C23" s="3" t="s">
        <v>16</v>
      </c>
      <c r="D23" s="2" t="s">
        <v>100</v>
      </c>
      <c r="E23" s="3" t="s">
        <v>101</v>
      </c>
      <c r="F23" s="2" t="s">
        <v>102</v>
      </c>
      <c r="G23">
        <v>3</v>
      </c>
      <c r="H23">
        <v>3</v>
      </c>
      <c r="I23">
        <f t="shared" si="0"/>
        <v>9</v>
      </c>
    </row>
    <row r="24" spans="1:9" ht="130.5" x14ac:dyDescent="0.35">
      <c r="A24" s="16" t="s">
        <v>477</v>
      </c>
      <c r="B24" s="1" t="s">
        <v>17</v>
      </c>
      <c r="C24" s="2" t="s">
        <v>103</v>
      </c>
      <c r="D24" s="2" t="s">
        <v>104</v>
      </c>
      <c r="E24" s="2" t="s">
        <v>105</v>
      </c>
      <c r="F24" s="2" t="s">
        <v>106</v>
      </c>
      <c r="G24">
        <v>3</v>
      </c>
      <c r="H24">
        <v>3</v>
      </c>
      <c r="I24">
        <f t="shared" si="0"/>
        <v>9</v>
      </c>
    </row>
    <row r="25" spans="1:9" ht="101.5" x14ac:dyDescent="0.35">
      <c r="A25" s="16" t="s">
        <v>477</v>
      </c>
      <c r="B25" s="1" t="s">
        <v>19</v>
      </c>
      <c r="C25" s="2" t="s">
        <v>107</v>
      </c>
      <c r="D25" s="2" t="s">
        <v>108</v>
      </c>
      <c r="E25" s="2" t="s">
        <v>109</v>
      </c>
      <c r="F25" s="2" t="s">
        <v>110</v>
      </c>
      <c r="G25">
        <v>3</v>
      </c>
      <c r="H25">
        <v>3</v>
      </c>
      <c r="I25">
        <f t="shared" si="0"/>
        <v>9</v>
      </c>
    </row>
    <row r="26" spans="1:9" ht="101.5" x14ac:dyDescent="0.35">
      <c r="A26" s="16" t="s">
        <v>477</v>
      </c>
      <c r="B26" s="1" t="s">
        <v>21</v>
      </c>
      <c r="C26" s="2" t="s">
        <v>111</v>
      </c>
      <c r="D26" s="2" t="s">
        <v>112</v>
      </c>
      <c r="E26" s="2" t="s">
        <v>113</v>
      </c>
      <c r="F26" s="2" t="s">
        <v>114</v>
      </c>
      <c r="G26">
        <v>3</v>
      </c>
      <c r="H26">
        <v>3</v>
      </c>
      <c r="I26">
        <f t="shared" si="0"/>
        <v>9</v>
      </c>
    </row>
    <row r="27" spans="1:9" ht="101.5" x14ac:dyDescent="0.35">
      <c r="A27" s="16" t="s">
        <v>477</v>
      </c>
      <c r="B27" s="1" t="s">
        <v>23</v>
      </c>
      <c r="C27" s="2" t="s">
        <v>115</v>
      </c>
      <c r="D27" s="2" t="s">
        <v>116</v>
      </c>
      <c r="E27" s="2" t="s">
        <v>117</v>
      </c>
      <c r="F27" s="2" t="s">
        <v>118</v>
      </c>
      <c r="G27">
        <v>3</v>
      </c>
      <c r="H27">
        <v>3</v>
      </c>
      <c r="I27">
        <f t="shared" si="0"/>
        <v>9</v>
      </c>
    </row>
    <row r="28" spans="1:9" ht="87" x14ac:dyDescent="0.35">
      <c r="A28" s="16" t="s">
        <v>477</v>
      </c>
      <c r="B28" s="1" t="s">
        <v>203</v>
      </c>
      <c r="C28" s="2" t="s">
        <v>119</v>
      </c>
      <c r="D28" s="2" t="s">
        <v>120</v>
      </c>
      <c r="E28" s="2" t="s">
        <v>121</v>
      </c>
      <c r="F28" s="2" t="s">
        <v>122</v>
      </c>
      <c r="G28">
        <v>3</v>
      </c>
      <c r="H28">
        <v>3</v>
      </c>
      <c r="I28">
        <f t="shared" si="0"/>
        <v>9</v>
      </c>
    </row>
    <row r="29" spans="1:9" ht="145" x14ac:dyDescent="0.35">
      <c r="A29" s="16" t="s">
        <v>478</v>
      </c>
      <c r="B29" s="1" t="s">
        <v>25</v>
      </c>
      <c r="C29" s="2" t="s">
        <v>123</v>
      </c>
      <c r="D29" s="2" t="s">
        <v>124</v>
      </c>
      <c r="E29" s="2" t="s">
        <v>125</v>
      </c>
      <c r="F29" s="2" t="s">
        <v>126</v>
      </c>
      <c r="G29">
        <v>3</v>
      </c>
      <c r="H29">
        <v>3</v>
      </c>
      <c r="I29">
        <f t="shared" si="0"/>
        <v>9</v>
      </c>
    </row>
    <row r="30" spans="1:9" ht="116" x14ac:dyDescent="0.35">
      <c r="A30" s="16" t="s">
        <v>478</v>
      </c>
      <c r="B30" s="1" t="s">
        <v>26</v>
      </c>
      <c r="C30" s="2" t="s">
        <v>127</v>
      </c>
      <c r="D30" s="2" t="s">
        <v>128</v>
      </c>
      <c r="E30" s="2" t="s">
        <v>129</v>
      </c>
      <c r="F30" s="2" t="s">
        <v>130</v>
      </c>
      <c r="G30">
        <v>3</v>
      </c>
      <c r="H30">
        <v>3</v>
      </c>
      <c r="I30">
        <f t="shared" si="0"/>
        <v>9</v>
      </c>
    </row>
    <row r="31" spans="1:9" ht="130.5" x14ac:dyDescent="0.35">
      <c r="A31" s="16" t="s">
        <v>478</v>
      </c>
      <c r="B31" s="1" t="s">
        <v>27</v>
      </c>
      <c r="C31" s="2" t="s">
        <v>131</v>
      </c>
      <c r="D31" s="2" t="s">
        <v>132</v>
      </c>
      <c r="E31" s="2" t="s">
        <v>133</v>
      </c>
      <c r="F31" s="2" t="s">
        <v>134</v>
      </c>
      <c r="G31">
        <v>3</v>
      </c>
      <c r="H31">
        <v>3</v>
      </c>
      <c r="I31">
        <f t="shared" si="0"/>
        <v>9</v>
      </c>
    </row>
    <row r="32" spans="1:9" ht="116" x14ac:dyDescent="0.35">
      <c r="A32" s="16" t="s">
        <v>478</v>
      </c>
      <c r="B32" s="1" t="s">
        <v>224</v>
      </c>
      <c r="C32" s="2" t="s">
        <v>135</v>
      </c>
      <c r="D32" s="2" t="s">
        <v>136</v>
      </c>
      <c r="E32" s="2" t="s">
        <v>137</v>
      </c>
      <c r="F32" s="2" t="s">
        <v>138</v>
      </c>
      <c r="G32">
        <v>3</v>
      </c>
      <c r="H32">
        <v>3</v>
      </c>
      <c r="I32">
        <f t="shared" si="0"/>
        <v>9</v>
      </c>
    </row>
    <row r="33" spans="1:9" ht="130.5" x14ac:dyDescent="0.35">
      <c r="A33" s="16" t="s">
        <v>478</v>
      </c>
      <c r="B33" s="1" t="s">
        <v>229</v>
      </c>
      <c r="C33" s="2" t="s">
        <v>139</v>
      </c>
      <c r="D33" s="2" t="s">
        <v>140</v>
      </c>
      <c r="E33" s="2" t="s">
        <v>141</v>
      </c>
      <c r="F33" s="2" t="s">
        <v>142</v>
      </c>
      <c r="G33">
        <v>3</v>
      </c>
      <c r="H33">
        <v>3</v>
      </c>
      <c r="I33">
        <f t="shared" si="0"/>
        <v>9</v>
      </c>
    </row>
    <row r="34" spans="1:9" ht="130.5" x14ac:dyDescent="0.35">
      <c r="A34" s="16" t="s">
        <v>479</v>
      </c>
      <c r="B34" s="1" t="s">
        <v>28</v>
      </c>
      <c r="C34" s="2" t="s">
        <v>143</v>
      </c>
      <c r="D34" s="2" t="s">
        <v>144</v>
      </c>
      <c r="E34" s="2" t="s">
        <v>145</v>
      </c>
      <c r="F34" s="2" t="s">
        <v>146</v>
      </c>
      <c r="G34">
        <v>3</v>
      </c>
      <c r="H34">
        <v>3</v>
      </c>
      <c r="I34">
        <f t="shared" si="0"/>
        <v>9</v>
      </c>
    </row>
    <row r="35" spans="1:9" ht="101.5" x14ac:dyDescent="0.35">
      <c r="A35" s="16" t="s">
        <v>479</v>
      </c>
      <c r="B35" s="1" t="s">
        <v>29</v>
      </c>
      <c r="C35" s="2" t="s">
        <v>147</v>
      </c>
      <c r="D35" s="2" t="s">
        <v>148</v>
      </c>
      <c r="E35" s="2" t="s">
        <v>149</v>
      </c>
      <c r="F35" s="2" t="s">
        <v>150</v>
      </c>
      <c r="G35">
        <v>3</v>
      </c>
      <c r="H35">
        <v>3</v>
      </c>
      <c r="I35">
        <f t="shared" si="0"/>
        <v>9</v>
      </c>
    </row>
    <row r="36" spans="1:9" ht="101.5" x14ac:dyDescent="0.35">
      <c r="A36" s="16" t="s">
        <v>479</v>
      </c>
      <c r="B36" s="1" t="s">
        <v>30</v>
      </c>
      <c r="C36" s="2" t="s">
        <v>151</v>
      </c>
      <c r="D36" s="2" t="s">
        <v>152</v>
      </c>
      <c r="E36" s="2" t="s">
        <v>153</v>
      </c>
      <c r="F36" s="2" t="s">
        <v>154</v>
      </c>
      <c r="G36">
        <v>3</v>
      </c>
      <c r="H36">
        <v>3</v>
      </c>
      <c r="I36">
        <f t="shared" si="0"/>
        <v>9</v>
      </c>
    </row>
    <row r="37" spans="1:9" ht="101.5" x14ac:dyDescent="0.35">
      <c r="A37" s="16" t="s">
        <v>479</v>
      </c>
      <c r="B37" s="1" t="s">
        <v>31</v>
      </c>
      <c r="C37" s="2" t="s">
        <v>155</v>
      </c>
      <c r="D37" s="2" t="s">
        <v>156</v>
      </c>
      <c r="E37" s="2" t="s">
        <v>157</v>
      </c>
      <c r="F37" s="2" t="s">
        <v>158</v>
      </c>
      <c r="G37">
        <v>3</v>
      </c>
      <c r="H37">
        <v>3</v>
      </c>
      <c r="I37">
        <f t="shared" si="0"/>
        <v>9</v>
      </c>
    </row>
    <row r="38" spans="1:9" ht="101.5" x14ac:dyDescent="0.35">
      <c r="A38" s="16" t="s">
        <v>479</v>
      </c>
      <c r="B38" s="1" t="s">
        <v>250</v>
      </c>
      <c r="C38" s="2" t="s">
        <v>159</v>
      </c>
      <c r="D38" s="2" t="s">
        <v>160</v>
      </c>
      <c r="E38" s="2" t="s">
        <v>161</v>
      </c>
      <c r="F38" s="2" t="s">
        <v>162</v>
      </c>
      <c r="G38">
        <v>3</v>
      </c>
      <c r="H38">
        <v>3</v>
      </c>
      <c r="I38">
        <f t="shared" si="0"/>
        <v>9</v>
      </c>
    </row>
    <row r="39" spans="1:9" ht="101.5" x14ac:dyDescent="0.35">
      <c r="A39" s="16" t="s">
        <v>479</v>
      </c>
      <c r="B39" s="1" t="s">
        <v>255</v>
      </c>
      <c r="C39" s="2" t="s">
        <v>163</v>
      </c>
      <c r="D39" s="2" t="s">
        <v>164</v>
      </c>
      <c r="E39" s="2" t="s">
        <v>165</v>
      </c>
      <c r="F39" s="2" t="s">
        <v>166</v>
      </c>
      <c r="G39">
        <v>3</v>
      </c>
      <c r="H39">
        <v>3</v>
      </c>
      <c r="I39">
        <f t="shared" si="0"/>
        <v>9</v>
      </c>
    </row>
    <row r="40" spans="1:9" ht="101.5" x14ac:dyDescent="0.35">
      <c r="A40" s="16" t="s">
        <v>480</v>
      </c>
      <c r="B40" s="1" t="s">
        <v>32</v>
      </c>
      <c r="C40" s="2" t="s">
        <v>167</v>
      </c>
      <c r="D40" s="2" t="s">
        <v>168</v>
      </c>
      <c r="E40" s="2" t="s">
        <v>169</v>
      </c>
      <c r="F40" s="2" t="s">
        <v>170</v>
      </c>
      <c r="G40">
        <v>3</v>
      </c>
      <c r="H40">
        <v>3</v>
      </c>
      <c r="I40">
        <f t="shared" si="0"/>
        <v>9</v>
      </c>
    </row>
    <row r="41" spans="1:9" ht="87" x14ac:dyDescent="0.35">
      <c r="A41" s="16" t="s">
        <v>480</v>
      </c>
      <c r="B41" s="1" t="s">
        <v>33</v>
      </c>
      <c r="C41" s="2" t="s">
        <v>171</v>
      </c>
      <c r="D41" s="2" t="s">
        <v>172</v>
      </c>
      <c r="E41" s="2" t="s">
        <v>173</v>
      </c>
      <c r="F41" s="2" t="s">
        <v>174</v>
      </c>
      <c r="G41">
        <v>3</v>
      </c>
      <c r="H41">
        <v>3</v>
      </c>
      <c r="I41">
        <f t="shared" si="0"/>
        <v>9</v>
      </c>
    </row>
    <row r="42" spans="1:9" ht="101.5" x14ac:dyDescent="0.35">
      <c r="A42" s="16" t="s">
        <v>480</v>
      </c>
      <c r="B42" s="1" t="s">
        <v>34</v>
      </c>
      <c r="C42" s="2" t="s">
        <v>175</v>
      </c>
      <c r="D42" s="2" t="s">
        <v>176</v>
      </c>
      <c r="E42" s="2" t="s">
        <v>177</v>
      </c>
      <c r="F42" s="2" t="s">
        <v>178</v>
      </c>
      <c r="G42">
        <v>3</v>
      </c>
      <c r="H42">
        <v>3</v>
      </c>
      <c r="I42">
        <f t="shared" si="0"/>
        <v>9</v>
      </c>
    </row>
    <row r="43" spans="1:9" ht="87" x14ac:dyDescent="0.35">
      <c r="A43" s="16" t="s">
        <v>480</v>
      </c>
      <c r="B43" s="1" t="s">
        <v>280</v>
      </c>
      <c r="C43" s="2" t="s">
        <v>179</v>
      </c>
      <c r="D43" s="2" t="s">
        <v>180</v>
      </c>
      <c r="E43" s="2" t="s">
        <v>181</v>
      </c>
      <c r="F43" s="2" t="s">
        <v>182</v>
      </c>
      <c r="G43">
        <v>3</v>
      </c>
      <c r="H43">
        <v>3</v>
      </c>
      <c r="I43">
        <f t="shared" si="0"/>
        <v>9</v>
      </c>
    </row>
    <row r="44" spans="1:9" ht="87" x14ac:dyDescent="0.35">
      <c r="A44" s="16" t="s">
        <v>480</v>
      </c>
      <c r="B44" s="1" t="s">
        <v>285</v>
      </c>
      <c r="C44" s="2" t="s">
        <v>183</v>
      </c>
      <c r="D44" s="2" t="s">
        <v>184</v>
      </c>
      <c r="E44" s="2" t="s">
        <v>185</v>
      </c>
      <c r="F44" s="2" t="s">
        <v>186</v>
      </c>
      <c r="G44">
        <v>3</v>
      </c>
      <c r="H44">
        <v>3</v>
      </c>
      <c r="I44">
        <f t="shared" si="0"/>
        <v>9</v>
      </c>
    </row>
    <row r="45" spans="1:9" ht="87" x14ac:dyDescent="0.35">
      <c r="A45" s="16" t="s">
        <v>480</v>
      </c>
      <c r="B45" s="1" t="s">
        <v>290</v>
      </c>
      <c r="C45" s="2" t="s">
        <v>187</v>
      </c>
      <c r="D45" s="2" t="s">
        <v>188</v>
      </c>
      <c r="E45" s="2" t="s">
        <v>189</v>
      </c>
      <c r="F45" s="2" t="s">
        <v>190</v>
      </c>
      <c r="G45">
        <v>3</v>
      </c>
      <c r="H45">
        <v>3</v>
      </c>
      <c r="I45">
        <f t="shared" si="0"/>
        <v>9</v>
      </c>
    </row>
    <row r="46" spans="1:9" ht="101.5" x14ac:dyDescent="0.35">
      <c r="A46" s="16" t="s">
        <v>481</v>
      </c>
      <c r="B46" s="1" t="s">
        <v>35</v>
      </c>
      <c r="C46" s="2" t="s">
        <v>18</v>
      </c>
      <c r="D46" s="2" t="s">
        <v>191</v>
      </c>
      <c r="E46" s="2" t="s">
        <v>192</v>
      </c>
      <c r="F46" s="2" t="s">
        <v>193</v>
      </c>
      <c r="G46">
        <v>3</v>
      </c>
      <c r="H46">
        <v>3</v>
      </c>
      <c r="I46">
        <f t="shared" si="0"/>
        <v>9</v>
      </c>
    </row>
    <row r="47" spans="1:9" ht="101.5" x14ac:dyDescent="0.35">
      <c r="A47" s="16" t="s">
        <v>481</v>
      </c>
      <c r="B47" s="1" t="s">
        <v>36</v>
      </c>
      <c r="C47" s="2" t="s">
        <v>20</v>
      </c>
      <c r="D47" s="2" t="s">
        <v>194</v>
      </c>
      <c r="E47" s="2" t="s">
        <v>195</v>
      </c>
      <c r="F47" s="2" t="s">
        <v>196</v>
      </c>
      <c r="G47">
        <v>3</v>
      </c>
      <c r="H47">
        <v>3</v>
      </c>
      <c r="I47">
        <f t="shared" si="0"/>
        <v>9</v>
      </c>
    </row>
    <row r="48" spans="1:9" ht="101.5" x14ac:dyDescent="0.35">
      <c r="A48" s="16" t="s">
        <v>481</v>
      </c>
      <c r="B48" s="1" t="s">
        <v>37</v>
      </c>
      <c r="C48" s="2" t="s">
        <v>22</v>
      </c>
      <c r="D48" s="2" t="s">
        <v>197</v>
      </c>
      <c r="E48" s="2" t="s">
        <v>198</v>
      </c>
      <c r="F48" s="2" t="s">
        <v>199</v>
      </c>
      <c r="G48">
        <v>3</v>
      </c>
      <c r="H48">
        <v>3</v>
      </c>
      <c r="I48">
        <f t="shared" si="0"/>
        <v>9</v>
      </c>
    </row>
    <row r="49" spans="1:9" ht="101.5" x14ac:dyDescent="0.35">
      <c r="A49" s="16" t="s">
        <v>481</v>
      </c>
      <c r="B49" s="1" t="s">
        <v>311</v>
      </c>
      <c r="C49" s="2" t="s">
        <v>24</v>
      </c>
      <c r="D49" s="2" t="s">
        <v>200</v>
      </c>
      <c r="E49" s="2" t="s">
        <v>201</v>
      </c>
      <c r="F49" s="2" t="s">
        <v>202</v>
      </c>
      <c r="G49">
        <v>3</v>
      </c>
      <c r="H49">
        <v>3</v>
      </c>
      <c r="I49">
        <f t="shared" si="0"/>
        <v>9</v>
      </c>
    </row>
    <row r="50" spans="1:9" ht="87" x14ac:dyDescent="0.35">
      <c r="A50" s="16" t="s">
        <v>481</v>
      </c>
      <c r="B50" s="1" t="s">
        <v>316</v>
      </c>
      <c r="C50" s="2" t="s">
        <v>204</v>
      </c>
      <c r="D50" s="2" t="s">
        <v>205</v>
      </c>
      <c r="E50" s="2" t="s">
        <v>206</v>
      </c>
      <c r="F50" s="2" t="s">
        <v>207</v>
      </c>
      <c r="G50">
        <v>3</v>
      </c>
      <c r="H50">
        <v>3</v>
      </c>
      <c r="I50">
        <f t="shared" si="0"/>
        <v>9</v>
      </c>
    </row>
    <row r="51" spans="1:9" ht="116" x14ac:dyDescent="0.35">
      <c r="A51" s="16" t="s">
        <v>481</v>
      </c>
      <c r="B51" s="1" t="s">
        <v>321</v>
      </c>
      <c r="C51" s="2" t="s">
        <v>208</v>
      </c>
      <c r="D51" s="2" t="s">
        <v>209</v>
      </c>
      <c r="E51" s="2" t="s">
        <v>210</v>
      </c>
      <c r="F51" s="2" t="s">
        <v>211</v>
      </c>
      <c r="G51">
        <v>3</v>
      </c>
      <c r="H51">
        <v>3</v>
      </c>
      <c r="I51">
        <f t="shared" si="0"/>
        <v>9</v>
      </c>
    </row>
    <row r="52" spans="1:9" ht="116" x14ac:dyDescent="0.35">
      <c r="A52" s="16" t="s">
        <v>482</v>
      </c>
      <c r="B52" s="1" t="s">
        <v>38</v>
      </c>
      <c r="C52" s="2" t="s">
        <v>212</v>
      </c>
      <c r="D52" s="2" t="s">
        <v>213</v>
      </c>
      <c r="E52" s="2" t="s">
        <v>214</v>
      </c>
      <c r="F52" s="2" t="s">
        <v>215</v>
      </c>
      <c r="G52">
        <v>3</v>
      </c>
      <c r="H52">
        <v>3</v>
      </c>
      <c r="I52">
        <f t="shared" si="0"/>
        <v>9</v>
      </c>
    </row>
    <row r="53" spans="1:9" ht="87" x14ac:dyDescent="0.35">
      <c r="A53" s="16" t="s">
        <v>482</v>
      </c>
      <c r="B53" s="1" t="s">
        <v>39</v>
      </c>
      <c r="C53" s="2" t="s">
        <v>216</v>
      </c>
      <c r="D53" s="2" t="s">
        <v>217</v>
      </c>
      <c r="E53" s="2" t="s">
        <v>218</v>
      </c>
      <c r="F53" s="2" t="s">
        <v>219</v>
      </c>
      <c r="G53">
        <v>3</v>
      </c>
      <c r="H53">
        <v>3</v>
      </c>
      <c r="I53">
        <f t="shared" si="0"/>
        <v>9</v>
      </c>
    </row>
    <row r="54" spans="1:9" ht="87" x14ac:dyDescent="0.35">
      <c r="A54" s="16" t="s">
        <v>482</v>
      </c>
      <c r="B54" s="1" t="s">
        <v>40</v>
      </c>
      <c r="C54" s="2" t="s">
        <v>220</v>
      </c>
      <c r="D54" s="2" t="s">
        <v>221</v>
      </c>
      <c r="E54" s="2" t="s">
        <v>222</v>
      </c>
      <c r="F54" s="2" t="s">
        <v>223</v>
      </c>
      <c r="G54">
        <v>3</v>
      </c>
      <c r="H54">
        <v>3</v>
      </c>
      <c r="I54">
        <f t="shared" si="0"/>
        <v>9</v>
      </c>
    </row>
    <row r="55" spans="1:9" ht="101.5" x14ac:dyDescent="0.35">
      <c r="A55" s="16" t="s">
        <v>482</v>
      </c>
      <c r="B55" s="1" t="s">
        <v>346</v>
      </c>
      <c r="C55" s="2" t="s">
        <v>225</v>
      </c>
      <c r="D55" s="2" t="s">
        <v>226</v>
      </c>
      <c r="E55" s="2" t="s">
        <v>227</v>
      </c>
      <c r="F55" s="2" t="s">
        <v>228</v>
      </c>
      <c r="G55">
        <v>3</v>
      </c>
      <c r="H55">
        <v>3</v>
      </c>
      <c r="I55">
        <f t="shared" si="0"/>
        <v>9</v>
      </c>
    </row>
    <row r="56" spans="1:9" ht="101.5" x14ac:dyDescent="0.35">
      <c r="A56" s="16" t="s">
        <v>482</v>
      </c>
      <c r="B56" s="1" t="s">
        <v>351</v>
      </c>
      <c r="C56" s="2" t="s">
        <v>230</v>
      </c>
      <c r="D56" s="2" t="s">
        <v>231</v>
      </c>
      <c r="E56" s="2" t="s">
        <v>232</v>
      </c>
      <c r="F56" s="2" t="s">
        <v>233</v>
      </c>
      <c r="G56">
        <v>3</v>
      </c>
      <c r="H56">
        <v>3</v>
      </c>
      <c r="I56">
        <f t="shared" si="0"/>
        <v>9</v>
      </c>
    </row>
    <row r="57" spans="1:9" ht="87" x14ac:dyDescent="0.35">
      <c r="A57" s="16" t="s">
        <v>483</v>
      </c>
      <c r="B57" s="1" t="s">
        <v>376</v>
      </c>
      <c r="C57" s="2" t="s">
        <v>234</v>
      </c>
      <c r="D57" s="2" t="s">
        <v>235</v>
      </c>
      <c r="E57" s="2" t="s">
        <v>236</v>
      </c>
      <c r="F57" s="2" t="s">
        <v>237</v>
      </c>
      <c r="G57">
        <v>3</v>
      </c>
      <c r="H57">
        <v>3</v>
      </c>
      <c r="I57">
        <f t="shared" si="0"/>
        <v>9</v>
      </c>
    </row>
    <row r="58" spans="1:9" ht="87" x14ac:dyDescent="0.35">
      <c r="A58" s="16" t="s">
        <v>483</v>
      </c>
      <c r="B58" s="1" t="s">
        <v>381</v>
      </c>
      <c r="C58" s="2" t="s">
        <v>238</v>
      </c>
      <c r="D58" s="2" t="s">
        <v>239</v>
      </c>
      <c r="E58" s="2" t="s">
        <v>240</v>
      </c>
      <c r="F58" s="2" t="s">
        <v>241</v>
      </c>
      <c r="G58">
        <v>3</v>
      </c>
      <c r="H58">
        <v>3</v>
      </c>
      <c r="I58">
        <f t="shared" ref="I58:I100" si="1">G58*H58</f>
        <v>9</v>
      </c>
    </row>
    <row r="59" spans="1:9" ht="87" x14ac:dyDescent="0.35">
      <c r="A59" s="16" t="s">
        <v>483</v>
      </c>
      <c r="B59" s="1" t="s">
        <v>386</v>
      </c>
      <c r="C59" s="2" t="s">
        <v>242</v>
      </c>
      <c r="D59" s="2" t="s">
        <v>243</v>
      </c>
      <c r="E59" s="2" t="s">
        <v>244</v>
      </c>
      <c r="F59" s="2" t="s">
        <v>245</v>
      </c>
      <c r="G59">
        <v>3</v>
      </c>
      <c r="H59">
        <v>3</v>
      </c>
      <c r="I59">
        <f t="shared" si="1"/>
        <v>9</v>
      </c>
    </row>
    <row r="60" spans="1:9" ht="72.5" x14ac:dyDescent="0.35">
      <c r="A60" s="16" t="s">
        <v>483</v>
      </c>
      <c r="B60" s="1" t="s">
        <v>391</v>
      </c>
      <c r="C60" s="2" t="s">
        <v>246</v>
      </c>
      <c r="D60" s="2" t="s">
        <v>247</v>
      </c>
      <c r="E60" s="2" t="s">
        <v>248</v>
      </c>
      <c r="F60" s="2" t="s">
        <v>249</v>
      </c>
      <c r="G60">
        <v>3</v>
      </c>
      <c r="H60">
        <v>3</v>
      </c>
      <c r="I60">
        <f t="shared" si="1"/>
        <v>9</v>
      </c>
    </row>
    <row r="61" spans="1:9" ht="72.5" x14ac:dyDescent="0.35">
      <c r="A61" s="16" t="s">
        <v>483</v>
      </c>
      <c r="B61" s="1" t="s">
        <v>396</v>
      </c>
      <c r="C61" s="2" t="s">
        <v>251</v>
      </c>
      <c r="D61" s="2" t="s">
        <v>252</v>
      </c>
      <c r="E61" s="2" t="s">
        <v>253</v>
      </c>
      <c r="F61" s="2" t="s">
        <v>254</v>
      </c>
      <c r="G61">
        <v>3</v>
      </c>
      <c r="H61">
        <v>3</v>
      </c>
      <c r="I61">
        <f t="shared" si="1"/>
        <v>9</v>
      </c>
    </row>
    <row r="62" spans="1:9" ht="87" x14ac:dyDescent="0.35">
      <c r="A62" s="16" t="s">
        <v>483</v>
      </c>
      <c r="B62" s="1" t="s">
        <v>492</v>
      </c>
      <c r="C62" s="2" t="s">
        <v>256</v>
      </c>
      <c r="D62" s="2" t="s">
        <v>257</v>
      </c>
      <c r="E62" s="2" t="s">
        <v>258</v>
      </c>
      <c r="F62" s="2" t="s">
        <v>259</v>
      </c>
      <c r="G62">
        <v>3</v>
      </c>
      <c r="H62">
        <v>3</v>
      </c>
      <c r="I62">
        <f t="shared" si="1"/>
        <v>9</v>
      </c>
    </row>
    <row r="63" spans="1:9" ht="87" x14ac:dyDescent="0.35">
      <c r="A63" s="16" t="s">
        <v>483</v>
      </c>
      <c r="B63" s="1" t="s">
        <v>493</v>
      </c>
      <c r="C63" s="2" t="s">
        <v>260</v>
      </c>
      <c r="D63" s="2" t="s">
        <v>261</v>
      </c>
      <c r="E63" s="2" t="s">
        <v>262</v>
      </c>
      <c r="F63" s="2" t="s">
        <v>263</v>
      </c>
      <c r="G63">
        <v>3</v>
      </c>
      <c r="H63">
        <v>3</v>
      </c>
      <c r="I63">
        <f t="shared" si="1"/>
        <v>9</v>
      </c>
    </row>
    <row r="64" spans="1:9" ht="72.5" x14ac:dyDescent="0.35">
      <c r="A64" s="16" t="s">
        <v>483</v>
      </c>
      <c r="B64" s="1" t="s">
        <v>494</v>
      </c>
      <c r="C64" s="2" t="s">
        <v>264</v>
      </c>
      <c r="D64" s="2" t="s">
        <v>265</v>
      </c>
      <c r="E64" s="2" t="s">
        <v>266</v>
      </c>
      <c r="F64" s="2" t="s">
        <v>267</v>
      </c>
      <c r="G64">
        <v>3</v>
      </c>
      <c r="H64">
        <v>3</v>
      </c>
      <c r="I64">
        <f t="shared" si="1"/>
        <v>9</v>
      </c>
    </row>
    <row r="65" spans="1:9" ht="116" x14ac:dyDescent="0.35">
      <c r="A65" s="16" t="s">
        <v>484</v>
      </c>
      <c r="B65" s="1" t="s">
        <v>401</v>
      </c>
      <c r="C65" s="2" t="s">
        <v>268</v>
      </c>
      <c r="D65" s="2" t="s">
        <v>269</v>
      </c>
      <c r="E65" s="2" t="s">
        <v>270</v>
      </c>
      <c r="F65" s="2" t="s">
        <v>271</v>
      </c>
      <c r="G65">
        <v>3</v>
      </c>
      <c r="H65">
        <v>3</v>
      </c>
      <c r="I65">
        <f t="shared" si="1"/>
        <v>9</v>
      </c>
    </row>
    <row r="66" spans="1:9" ht="101.5" x14ac:dyDescent="0.35">
      <c r="A66" s="16" t="s">
        <v>484</v>
      </c>
      <c r="B66" s="1" t="s">
        <v>406</v>
      </c>
      <c r="C66" s="2" t="s">
        <v>272</v>
      </c>
      <c r="D66" s="2" t="s">
        <v>273</v>
      </c>
      <c r="E66" s="2" t="s">
        <v>274</v>
      </c>
      <c r="F66" s="2" t="s">
        <v>275</v>
      </c>
      <c r="G66">
        <v>3</v>
      </c>
      <c r="H66">
        <v>3</v>
      </c>
      <c r="I66">
        <f t="shared" si="1"/>
        <v>9</v>
      </c>
    </row>
    <row r="67" spans="1:9" ht="101.5" x14ac:dyDescent="0.35">
      <c r="A67" s="16" t="s">
        <v>484</v>
      </c>
      <c r="B67" s="1" t="s">
        <v>411</v>
      </c>
      <c r="C67" s="2" t="s">
        <v>276</v>
      </c>
      <c r="D67" s="2" t="s">
        <v>277</v>
      </c>
      <c r="E67" s="2" t="s">
        <v>278</v>
      </c>
      <c r="F67" s="2" t="s">
        <v>279</v>
      </c>
      <c r="G67">
        <v>3</v>
      </c>
      <c r="H67">
        <v>3</v>
      </c>
      <c r="I67">
        <f t="shared" si="1"/>
        <v>9</v>
      </c>
    </row>
    <row r="68" spans="1:9" ht="101.5" x14ac:dyDescent="0.35">
      <c r="A68" s="16" t="s">
        <v>484</v>
      </c>
      <c r="B68" s="1" t="s">
        <v>416</v>
      </c>
      <c r="C68" s="2" t="s">
        <v>281</v>
      </c>
      <c r="D68" s="2" t="s">
        <v>282</v>
      </c>
      <c r="E68" s="2" t="s">
        <v>283</v>
      </c>
      <c r="F68" s="2" t="s">
        <v>284</v>
      </c>
      <c r="G68">
        <v>3</v>
      </c>
      <c r="H68">
        <v>3</v>
      </c>
      <c r="I68">
        <f t="shared" si="1"/>
        <v>9</v>
      </c>
    </row>
    <row r="69" spans="1:9" ht="101.5" x14ac:dyDescent="0.35">
      <c r="A69" s="16" t="s">
        <v>484</v>
      </c>
      <c r="B69" s="1" t="s">
        <v>421</v>
      </c>
      <c r="C69" s="2" t="s">
        <v>286</v>
      </c>
      <c r="D69" s="2" t="s">
        <v>287</v>
      </c>
      <c r="E69" s="2" t="s">
        <v>288</v>
      </c>
      <c r="F69" s="2" t="s">
        <v>289</v>
      </c>
      <c r="G69">
        <v>3</v>
      </c>
      <c r="H69">
        <v>3</v>
      </c>
      <c r="I69">
        <f t="shared" si="1"/>
        <v>9</v>
      </c>
    </row>
    <row r="70" spans="1:9" ht="87" x14ac:dyDescent="0.35">
      <c r="A70" s="16" t="s">
        <v>484</v>
      </c>
      <c r="B70" s="1" t="s">
        <v>426</v>
      </c>
      <c r="C70" s="2" t="s">
        <v>291</v>
      </c>
      <c r="D70" s="2" t="s">
        <v>292</v>
      </c>
      <c r="E70" s="2" t="s">
        <v>293</v>
      </c>
      <c r="F70" s="2" t="s">
        <v>294</v>
      </c>
      <c r="G70">
        <v>3</v>
      </c>
      <c r="H70">
        <v>3</v>
      </c>
      <c r="I70">
        <f t="shared" si="1"/>
        <v>9</v>
      </c>
    </row>
    <row r="71" spans="1:9" ht="87" x14ac:dyDescent="0.35">
      <c r="A71" s="16" t="s">
        <v>484</v>
      </c>
      <c r="B71" s="1" t="s">
        <v>495</v>
      </c>
      <c r="C71" s="2" t="s">
        <v>295</v>
      </c>
      <c r="D71" s="2" t="s">
        <v>296</v>
      </c>
      <c r="E71" s="2" t="s">
        <v>297</v>
      </c>
      <c r="F71" s="2" t="s">
        <v>298</v>
      </c>
      <c r="G71">
        <v>3</v>
      </c>
      <c r="H71">
        <v>3</v>
      </c>
      <c r="I71">
        <f t="shared" si="1"/>
        <v>9</v>
      </c>
    </row>
    <row r="72" spans="1:9" ht="101.5" x14ac:dyDescent="0.35">
      <c r="A72" s="1" t="s">
        <v>488</v>
      </c>
      <c r="B72" s="1" t="s">
        <v>496</v>
      </c>
      <c r="C72" s="2" t="s">
        <v>299</v>
      </c>
      <c r="D72" s="2" t="s">
        <v>300</v>
      </c>
      <c r="E72" s="2" t="s">
        <v>301</v>
      </c>
      <c r="F72" s="2" t="s">
        <v>302</v>
      </c>
      <c r="G72">
        <v>3</v>
      </c>
      <c r="H72">
        <v>3</v>
      </c>
      <c r="I72">
        <f t="shared" si="1"/>
        <v>9</v>
      </c>
    </row>
    <row r="73" spans="1:9" ht="87" x14ac:dyDescent="0.35">
      <c r="A73" s="1" t="s">
        <v>488</v>
      </c>
      <c r="B73" s="1" t="s">
        <v>497</v>
      </c>
      <c r="C73" s="2" t="s">
        <v>303</v>
      </c>
      <c r="D73" s="2" t="s">
        <v>304</v>
      </c>
      <c r="E73" s="2" t="s">
        <v>305</v>
      </c>
      <c r="F73" s="2" t="s">
        <v>306</v>
      </c>
      <c r="G73">
        <v>3</v>
      </c>
      <c r="H73">
        <v>3</v>
      </c>
      <c r="I73">
        <f t="shared" si="1"/>
        <v>9</v>
      </c>
    </row>
    <row r="74" spans="1:9" ht="101.5" x14ac:dyDescent="0.35">
      <c r="A74" s="1" t="s">
        <v>488</v>
      </c>
      <c r="B74" s="1" t="s">
        <v>498</v>
      </c>
      <c r="C74" s="2" t="s">
        <v>307</v>
      </c>
      <c r="D74" s="2" t="s">
        <v>308</v>
      </c>
      <c r="E74" s="2" t="s">
        <v>309</v>
      </c>
      <c r="F74" s="2" t="s">
        <v>310</v>
      </c>
      <c r="G74">
        <v>3</v>
      </c>
      <c r="H74">
        <v>3</v>
      </c>
      <c r="I74">
        <f t="shared" si="1"/>
        <v>9</v>
      </c>
    </row>
    <row r="75" spans="1:9" ht="87" x14ac:dyDescent="0.35">
      <c r="A75" s="1" t="s">
        <v>488</v>
      </c>
      <c r="B75" s="1" t="s">
        <v>499</v>
      </c>
      <c r="C75" s="2" t="s">
        <v>312</v>
      </c>
      <c r="D75" s="2" t="s">
        <v>313</v>
      </c>
      <c r="E75" s="2" t="s">
        <v>314</v>
      </c>
      <c r="F75" s="2" t="s">
        <v>315</v>
      </c>
      <c r="G75">
        <v>3</v>
      </c>
      <c r="H75">
        <v>3</v>
      </c>
      <c r="I75">
        <f t="shared" si="1"/>
        <v>9</v>
      </c>
    </row>
    <row r="76" spans="1:9" ht="72.5" x14ac:dyDescent="0.35">
      <c r="A76" s="1" t="s">
        <v>488</v>
      </c>
      <c r="B76" s="1" t="s">
        <v>500</v>
      </c>
      <c r="C76" s="2" t="s">
        <v>317</v>
      </c>
      <c r="D76" s="2" t="s">
        <v>318</v>
      </c>
      <c r="E76" s="2" t="s">
        <v>319</v>
      </c>
      <c r="F76" s="2" t="s">
        <v>320</v>
      </c>
      <c r="G76">
        <v>3</v>
      </c>
      <c r="H76">
        <v>3</v>
      </c>
      <c r="I76">
        <f t="shared" si="1"/>
        <v>9</v>
      </c>
    </row>
    <row r="77" spans="1:9" ht="87" x14ac:dyDescent="0.35">
      <c r="A77" s="1" t="s">
        <v>488</v>
      </c>
      <c r="B77" s="1" t="s">
        <v>501</v>
      </c>
      <c r="C77" s="2" t="s">
        <v>322</v>
      </c>
      <c r="D77" s="2" t="s">
        <v>323</v>
      </c>
      <c r="E77" s="2" t="s">
        <v>324</v>
      </c>
      <c r="F77" s="2" t="s">
        <v>325</v>
      </c>
      <c r="G77">
        <v>3</v>
      </c>
      <c r="H77">
        <v>3</v>
      </c>
      <c r="I77">
        <f t="shared" si="1"/>
        <v>9</v>
      </c>
    </row>
    <row r="78" spans="1:9" ht="87" x14ac:dyDescent="0.35">
      <c r="A78" s="1" t="s">
        <v>488</v>
      </c>
      <c r="B78" s="1" t="s">
        <v>502</v>
      </c>
      <c r="C78" s="2" t="s">
        <v>326</v>
      </c>
      <c r="D78" s="2" t="s">
        <v>327</v>
      </c>
      <c r="E78" s="2" t="s">
        <v>328</v>
      </c>
      <c r="F78" s="2" t="s">
        <v>329</v>
      </c>
      <c r="G78">
        <v>3</v>
      </c>
      <c r="H78">
        <v>3</v>
      </c>
      <c r="I78">
        <f t="shared" si="1"/>
        <v>9</v>
      </c>
    </row>
    <row r="79" spans="1:9" ht="72.5" x14ac:dyDescent="0.35">
      <c r="A79" s="1" t="s">
        <v>488</v>
      </c>
      <c r="B79" s="1" t="s">
        <v>503</v>
      </c>
      <c r="C79" s="2" t="s">
        <v>330</v>
      </c>
      <c r="D79" s="2" t="s">
        <v>331</v>
      </c>
      <c r="E79" s="2" t="s">
        <v>332</v>
      </c>
      <c r="F79" s="2" t="s">
        <v>333</v>
      </c>
      <c r="G79">
        <v>3</v>
      </c>
      <c r="H79">
        <v>3</v>
      </c>
      <c r="I79">
        <f t="shared" si="1"/>
        <v>9</v>
      </c>
    </row>
    <row r="80" spans="1:9" ht="130.5" x14ac:dyDescent="0.35">
      <c r="A80" s="1" t="s">
        <v>489</v>
      </c>
      <c r="B80" s="1" t="s">
        <v>504</v>
      </c>
      <c r="C80" s="2" t="s">
        <v>334</v>
      </c>
      <c r="D80" s="2" t="s">
        <v>335</v>
      </c>
      <c r="E80" s="2" t="s">
        <v>336</v>
      </c>
      <c r="F80" s="2" t="s">
        <v>337</v>
      </c>
      <c r="G80">
        <v>3</v>
      </c>
      <c r="H80">
        <v>3</v>
      </c>
      <c r="I80">
        <f t="shared" si="1"/>
        <v>9</v>
      </c>
    </row>
    <row r="81" spans="1:9" ht="101.5" x14ac:dyDescent="0.35">
      <c r="A81" s="1" t="s">
        <v>489</v>
      </c>
      <c r="B81" s="1" t="s">
        <v>505</v>
      </c>
      <c r="C81" s="2" t="s">
        <v>338</v>
      </c>
      <c r="D81" s="2" t="s">
        <v>339</v>
      </c>
      <c r="E81" s="2" t="s">
        <v>340</v>
      </c>
      <c r="F81" s="2" t="s">
        <v>341</v>
      </c>
      <c r="G81">
        <v>3</v>
      </c>
      <c r="H81">
        <v>3</v>
      </c>
      <c r="I81">
        <f t="shared" si="1"/>
        <v>9</v>
      </c>
    </row>
    <row r="82" spans="1:9" ht="87" x14ac:dyDescent="0.35">
      <c r="A82" s="1" t="s">
        <v>489</v>
      </c>
      <c r="B82" s="1" t="s">
        <v>506</v>
      </c>
      <c r="C82" s="2" t="s">
        <v>342</v>
      </c>
      <c r="D82" s="2" t="s">
        <v>343</v>
      </c>
      <c r="E82" s="2" t="s">
        <v>344</v>
      </c>
      <c r="F82" s="2" t="s">
        <v>345</v>
      </c>
      <c r="G82">
        <v>3</v>
      </c>
      <c r="H82">
        <v>3</v>
      </c>
      <c r="I82">
        <f t="shared" si="1"/>
        <v>9</v>
      </c>
    </row>
    <row r="83" spans="1:9" ht="116" x14ac:dyDescent="0.35">
      <c r="A83" s="1" t="s">
        <v>489</v>
      </c>
      <c r="B83" s="1" t="s">
        <v>507</v>
      </c>
      <c r="C83" s="2" t="s">
        <v>347</v>
      </c>
      <c r="D83" s="2" t="s">
        <v>348</v>
      </c>
      <c r="E83" s="2" t="s">
        <v>349</v>
      </c>
      <c r="F83" s="2" t="s">
        <v>350</v>
      </c>
      <c r="G83">
        <v>3</v>
      </c>
      <c r="H83">
        <v>3</v>
      </c>
      <c r="I83">
        <f t="shared" si="1"/>
        <v>9</v>
      </c>
    </row>
    <row r="84" spans="1:9" ht="116" x14ac:dyDescent="0.35">
      <c r="A84" s="1" t="s">
        <v>489</v>
      </c>
      <c r="B84" s="1" t="s">
        <v>508</v>
      </c>
      <c r="C84" s="2" t="s">
        <v>352</v>
      </c>
      <c r="D84" s="2" t="s">
        <v>353</v>
      </c>
      <c r="E84" s="2" t="s">
        <v>354</v>
      </c>
      <c r="F84" s="2" t="s">
        <v>355</v>
      </c>
      <c r="G84">
        <v>3</v>
      </c>
      <c r="H84">
        <v>3</v>
      </c>
      <c r="I84">
        <f t="shared" si="1"/>
        <v>9</v>
      </c>
    </row>
    <row r="85" spans="1:9" ht="72.5" x14ac:dyDescent="0.35">
      <c r="A85" s="1" t="s">
        <v>489</v>
      </c>
      <c r="B85" s="1" t="s">
        <v>509</v>
      </c>
      <c r="C85" s="2" t="s">
        <v>356</v>
      </c>
      <c r="D85" s="2" t="s">
        <v>357</v>
      </c>
      <c r="E85" s="2" t="s">
        <v>358</v>
      </c>
      <c r="F85" s="2" t="s">
        <v>359</v>
      </c>
      <c r="G85">
        <v>3</v>
      </c>
      <c r="H85">
        <v>3</v>
      </c>
      <c r="I85">
        <f t="shared" si="1"/>
        <v>9</v>
      </c>
    </row>
    <row r="86" spans="1:9" ht="87" x14ac:dyDescent="0.35">
      <c r="A86" s="1" t="s">
        <v>489</v>
      </c>
      <c r="B86" s="1" t="s">
        <v>510</v>
      </c>
      <c r="C86" s="2" t="s">
        <v>360</v>
      </c>
      <c r="D86" s="2" t="s">
        <v>361</v>
      </c>
      <c r="E86" s="2" t="s">
        <v>362</v>
      </c>
      <c r="F86" s="2" t="s">
        <v>363</v>
      </c>
      <c r="G86">
        <v>3</v>
      </c>
      <c r="H86">
        <v>3</v>
      </c>
      <c r="I86">
        <f t="shared" si="1"/>
        <v>9</v>
      </c>
    </row>
    <row r="87" spans="1:9" ht="101.5" x14ac:dyDescent="0.35">
      <c r="A87" s="1" t="s">
        <v>489</v>
      </c>
      <c r="B87" s="1" t="s">
        <v>511</v>
      </c>
      <c r="C87" s="2" t="s">
        <v>364</v>
      </c>
      <c r="D87" s="2" t="s">
        <v>365</v>
      </c>
      <c r="E87" s="2" t="s">
        <v>366</v>
      </c>
      <c r="F87" s="2" t="s">
        <v>367</v>
      </c>
      <c r="G87">
        <v>3</v>
      </c>
      <c r="H87">
        <v>3</v>
      </c>
      <c r="I87">
        <f t="shared" si="1"/>
        <v>9</v>
      </c>
    </row>
    <row r="88" spans="1:9" ht="87" x14ac:dyDescent="0.35">
      <c r="A88" s="1" t="s">
        <v>489</v>
      </c>
      <c r="B88" s="1" t="s">
        <v>512</v>
      </c>
      <c r="C88" s="2" t="s">
        <v>368</v>
      </c>
      <c r="D88" s="2" t="s">
        <v>369</v>
      </c>
      <c r="E88" s="2" t="s">
        <v>370</v>
      </c>
      <c r="F88" s="2" t="s">
        <v>371</v>
      </c>
      <c r="G88">
        <v>3</v>
      </c>
      <c r="H88">
        <v>3</v>
      </c>
      <c r="I88">
        <f t="shared" si="1"/>
        <v>9</v>
      </c>
    </row>
    <row r="89" spans="1:9" ht="87" x14ac:dyDescent="0.35">
      <c r="A89" s="1" t="s">
        <v>489</v>
      </c>
      <c r="B89" s="1" t="s">
        <v>513</v>
      </c>
      <c r="C89" s="2" t="s">
        <v>372</v>
      </c>
      <c r="D89" s="2" t="s">
        <v>373</v>
      </c>
      <c r="E89" s="2" t="s">
        <v>374</v>
      </c>
      <c r="F89" s="2" t="s">
        <v>375</v>
      </c>
      <c r="G89">
        <v>4</v>
      </c>
      <c r="H89">
        <v>3</v>
      </c>
      <c r="I89">
        <f t="shared" si="1"/>
        <v>12</v>
      </c>
    </row>
    <row r="90" spans="1:9" ht="72.5" x14ac:dyDescent="0.35">
      <c r="A90" s="1" t="s">
        <v>490</v>
      </c>
      <c r="B90" s="1" t="s">
        <v>514</v>
      </c>
      <c r="C90" s="2" t="s">
        <v>377</v>
      </c>
      <c r="D90" s="2" t="s">
        <v>378</v>
      </c>
      <c r="E90" s="2" t="s">
        <v>379</v>
      </c>
      <c r="F90" s="2" t="s">
        <v>380</v>
      </c>
      <c r="G90">
        <v>4</v>
      </c>
      <c r="H90">
        <v>3</v>
      </c>
      <c r="I90">
        <f t="shared" si="1"/>
        <v>12</v>
      </c>
    </row>
    <row r="91" spans="1:9" ht="87" x14ac:dyDescent="0.35">
      <c r="A91" s="1" t="s">
        <v>490</v>
      </c>
      <c r="B91" s="1" t="s">
        <v>515</v>
      </c>
      <c r="C91" s="2" t="s">
        <v>382</v>
      </c>
      <c r="D91" s="2" t="s">
        <v>383</v>
      </c>
      <c r="E91" s="2" t="s">
        <v>384</v>
      </c>
      <c r="F91" s="2" t="s">
        <v>385</v>
      </c>
      <c r="G91">
        <v>4</v>
      </c>
      <c r="H91">
        <v>3</v>
      </c>
      <c r="I91">
        <f t="shared" si="1"/>
        <v>12</v>
      </c>
    </row>
    <row r="92" spans="1:9" ht="72.5" x14ac:dyDescent="0.35">
      <c r="A92" s="1" t="s">
        <v>490</v>
      </c>
      <c r="B92" s="1" t="s">
        <v>516</v>
      </c>
      <c r="C92" s="2" t="s">
        <v>387</v>
      </c>
      <c r="D92" s="2" t="s">
        <v>388</v>
      </c>
      <c r="E92" s="2" t="s">
        <v>389</v>
      </c>
      <c r="F92" s="2" t="s">
        <v>390</v>
      </c>
      <c r="G92">
        <v>4</v>
      </c>
      <c r="H92">
        <v>3</v>
      </c>
      <c r="I92">
        <f t="shared" si="1"/>
        <v>12</v>
      </c>
    </row>
    <row r="93" spans="1:9" ht="72.5" x14ac:dyDescent="0.35">
      <c r="A93" s="1" t="s">
        <v>490</v>
      </c>
      <c r="B93" s="1" t="s">
        <v>517</v>
      </c>
      <c r="C93" s="2" t="s">
        <v>392</v>
      </c>
      <c r="D93" s="2" t="s">
        <v>393</v>
      </c>
      <c r="E93" s="2" t="s">
        <v>394</v>
      </c>
      <c r="F93" s="2" t="s">
        <v>395</v>
      </c>
      <c r="G93">
        <v>4</v>
      </c>
      <c r="H93">
        <v>3</v>
      </c>
      <c r="I93">
        <f t="shared" si="1"/>
        <v>12</v>
      </c>
    </row>
    <row r="94" spans="1:9" ht="72.5" x14ac:dyDescent="0.35">
      <c r="A94" s="1" t="s">
        <v>490</v>
      </c>
      <c r="B94" s="1" t="s">
        <v>518</v>
      </c>
      <c r="C94" s="2" t="s">
        <v>397</v>
      </c>
      <c r="D94" s="2" t="s">
        <v>398</v>
      </c>
      <c r="E94" s="2" t="s">
        <v>399</v>
      </c>
      <c r="F94" s="2" t="s">
        <v>400</v>
      </c>
      <c r="G94">
        <v>4</v>
      </c>
      <c r="H94">
        <v>3</v>
      </c>
      <c r="I94">
        <f t="shared" si="1"/>
        <v>12</v>
      </c>
    </row>
    <row r="95" spans="1:9" ht="101.5" x14ac:dyDescent="0.35">
      <c r="A95" s="1" t="s">
        <v>491</v>
      </c>
      <c r="B95" s="1" t="s">
        <v>519</v>
      </c>
      <c r="C95" s="2" t="s">
        <v>402</v>
      </c>
      <c r="D95" s="2" t="s">
        <v>403</v>
      </c>
      <c r="E95" s="2" t="s">
        <v>404</v>
      </c>
      <c r="F95" s="2" t="s">
        <v>405</v>
      </c>
      <c r="G95">
        <v>4</v>
      </c>
      <c r="H95">
        <v>3</v>
      </c>
      <c r="I95">
        <f t="shared" si="1"/>
        <v>12</v>
      </c>
    </row>
    <row r="96" spans="1:9" ht="72.5" x14ac:dyDescent="0.35">
      <c r="A96" s="1" t="s">
        <v>491</v>
      </c>
      <c r="B96" s="1" t="s">
        <v>520</v>
      </c>
      <c r="C96" s="2" t="s">
        <v>407</v>
      </c>
      <c r="D96" s="2" t="s">
        <v>408</v>
      </c>
      <c r="E96" s="2" t="s">
        <v>409</v>
      </c>
      <c r="F96" s="2" t="s">
        <v>410</v>
      </c>
      <c r="G96">
        <v>4</v>
      </c>
      <c r="H96">
        <v>3</v>
      </c>
      <c r="I96">
        <f t="shared" si="1"/>
        <v>12</v>
      </c>
    </row>
    <row r="97" spans="1:9" ht="72.5" x14ac:dyDescent="0.35">
      <c r="A97" s="1" t="s">
        <v>491</v>
      </c>
      <c r="B97" s="1" t="s">
        <v>521</v>
      </c>
      <c r="C97" s="2" t="s">
        <v>412</v>
      </c>
      <c r="D97" s="2" t="s">
        <v>413</v>
      </c>
      <c r="E97" s="2" t="s">
        <v>414</v>
      </c>
      <c r="F97" s="2" t="s">
        <v>415</v>
      </c>
      <c r="G97">
        <v>4</v>
      </c>
      <c r="H97">
        <v>3</v>
      </c>
      <c r="I97">
        <f t="shared" si="1"/>
        <v>12</v>
      </c>
    </row>
    <row r="98" spans="1:9" ht="72.5" x14ac:dyDescent="0.35">
      <c r="A98" s="1" t="s">
        <v>491</v>
      </c>
      <c r="B98" s="1" t="s">
        <v>522</v>
      </c>
      <c r="C98" s="2" t="s">
        <v>417</v>
      </c>
      <c r="D98" s="2" t="s">
        <v>418</v>
      </c>
      <c r="E98" s="2" t="s">
        <v>419</v>
      </c>
      <c r="F98" s="2" t="s">
        <v>420</v>
      </c>
      <c r="G98">
        <v>4</v>
      </c>
      <c r="H98">
        <v>3</v>
      </c>
      <c r="I98">
        <f t="shared" si="1"/>
        <v>12</v>
      </c>
    </row>
    <row r="99" spans="1:9" ht="72.5" x14ac:dyDescent="0.35">
      <c r="A99" s="1" t="s">
        <v>491</v>
      </c>
      <c r="B99" s="1" t="s">
        <v>523</v>
      </c>
      <c r="C99" s="2" t="s">
        <v>422</v>
      </c>
      <c r="D99" s="2" t="s">
        <v>423</v>
      </c>
      <c r="E99" s="2" t="s">
        <v>424</v>
      </c>
      <c r="F99" s="2" t="s">
        <v>425</v>
      </c>
      <c r="G99">
        <v>4</v>
      </c>
      <c r="H99">
        <v>3</v>
      </c>
      <c r="I99">
        <f t="shared" si="1"/>
        <v>12</v>
      </c>
    </row>
    <row r="100" spans="1:9" ht="72.5" x14ac:dyDescent="0.35">
      <c r="A100" s="1" t="s">
        <v>491</v>
      </c>
      <c r="B100" s="1" t="s">
        <v>524</v>
      </c>
      <c r="C100" s="2" t="s">
        <v>427</v>
      </c>
      <c r="D100" s="2" t="s">
        <v>428</v>
      </c>
      <c r="E100" s="2" t="s">
        <v>429</v>
      </c>
      <c r="F100" s="2" t="s">
        <v>430</v>
      </c>
      <c r="G100">
        <v>4</v>
      </c>
      <c r="H100">
        <v>3</v>
      </c>
      <c r="I100">
        <f t="shared" si="1"/>
        <v>12</v>
      </c>
    </row>
  </sheetData>
  <conditionalFormatting sqref="G1:G1048576">
    <cfRule type="cellIs" dxfId="10" priority="6" operator="equal">
      <formula>5</formula>
    </cfRule>
  </conditionalFormatting>
  <conditionalFormatting sqref="G2:G1048576">
    <cfRule type="cellIs" dxfId="9" priority="1" operator="equal">
      <formula>0</formula>
    </cfRule>
    <cfRule type="cellIs" dxfId="8" priority="2" operator="equal">
      <formula>1</formula>
    </cfRule>
    <cfRule type="cellIs" dxfId="7" priority="3" operator="equal">
      <formula>2</formula>
    </cfRule>
    <cfRule type="cellIs" dxfId="6" priority="4" operator="equal">
      <formula>3</formula>
    </cfRule>
    <cfRule type="cellIs" dxfId="5" priority="5" operator="equal">
      <formula>4</formula>
    </cfRule>
  </conditionalFormatting>
  <pageMargins left="0.7" right="0.7" top="0.75" bottom="0.75" header="0.3" footer="0.3"/>
  <headerFooter>
    <oddHeader>&amp;C&amp;"Aptos"&amp;11&amp;K000000 Internal&amp;1#_x000D_</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6A493F2-DD99-4237-BC50-2C800683218F}">
          <x14:formula1>
            <xm:f>Methodology!$A$4:$A$9</xm:f>
          </x14:formula1>
          <xm:sqref>G2:G100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8BAD-1495-416E-8268-72AC623813CA}">
  <dimension ref="A1:B17"/>
  <sheetViews>
    <sheetView workbookViewId="0">
      <selection activeCell="E14" sqref="E14"/>
    </sheetView>
  </sheetViews>
  <sheetFormatPr defaultRowHeight="14.5" x14ac:dyDescent="0.35"/>
  <cols>
    <col min="1" max="1" width="43" customWidth="1"/>
    <col min="2" max="2" width="29.90625" customWidth="1"/>
  </cols>
  <sheetData>
    <row r="1" spans="1:2" x14ac:dyDescent="0.35">
      <c r="A1" s="3" t="s">
        <v>467</v>
      </c>
      <c r="B1" s="1" t="s">
        <v>468</v>
      </c>
    </row>
    <row r="2" spans="1:2" x14ac:dyDescent="0.35">
      <c r="A2" s="2" t="s">
        <v>474</v>
      </c>
      <c r="B2" s="2">
        <f>SUMIF('Scoring Matrix'!$A:$A, A2, 'Scoring Matrix'!$I:$I) /
 (COUNTIF('Scoring Matrix'!$A:$A, A2) * 15) * 100</f>
        <v>76</v>
      </c>
    </row>
    <row r="3" spans="1:2" x14ac:dyDescent="0.35">
      <c r="A3" s="2" t="s">
        <v>473</v>
      </c>
      <c r="B3" s="2">
        <f>SUMIF('Scoring Matrix'!$A:$A, A3, 'Scoring Matrix'!$I:$I) /
 (COUNTIF('Scoring Matrix'!$A:$A, A3) * 15) * 100</f>
        <v>23.333333333333332</v>
      </c>
    </row>
    <row r="4" spans="1:2" x14ac:dyDescent="0.35">
      <c r="A4" s="2" t="s">
        <v>475</v>
      </c>
      <c r="B4" s="2">
        <f>SUMIF('Scoring Matrix'!$A:$A, A4, 'Scoring Matrix'!$I:$I) /
 (COUNTIF('Scoring Matrix'!$A:$A, A4) * 15) * 100</f>
        <v>60</v>
      </c>
    </row>
    <row r="5" spans="1:2" x14ac:dyDescent="0.35">
      <c r="A5" s="2" t="s">
        <v>476</v>
      </c>
      <c r="B5" s="2">
        <f>SUMIF('Scoring Matrix'!$A:$A, A5, 'Scoring Matrix'!$I:$I) /
 (COUNTIF('Scoring Matrix'!$A:$A, A5) * 15) * 100</f>
        <v>60</v>
      </c>
    </row>
    <row r="6" spans="1:2" ht="29" x14ac:dyDescent="0.35">
      <c r="A6" s="2" t="s">
        <v>477</v>
      </c>
      <c r="B6" s="2">
        <f>SUMIF('Scoring Matrix'!$A:$A, A6, 'Scoring Matrix'!$I:$I) /
 (COUNTIF('Scoring Matrix'!$A:$A, A6) * 15) * 100</f>
        <v>60</v>
      </c>
    </row>
    <row r="7" spans="1:2" ht="29" x14ac:dyDescent="0.35">
      <c r="A7" s="2" t="s">
        <v>478</v>
      </c>
      <c r="B7" s="2">
        <f>SUMIF('Scoring Matrix'!$A:$A, A7, 'Scoring Matrix'!$I:$I) /
 (COUNTIF('Scoring Matrix'!$A:$A, A7) * 15) * 100</f>
        <v>60</v>
      </c>
    </row>
    <row r="8" spans="1:2" ht="29" x14ac:dyDescent="0.35">
      <c r="A8" s="2" t="s">
        <v>479</v>
      </c>
      <c r="B8" s="2">
        <f>SUMIF('Scoring Matrix'!$A:$A, A8, 'Scoring Matrix'!$I:$I) /
 (COUNTIF('Scoring Matrix'!$A:$A, A8) * 15) * 100</f>
        <v>60</v>
      </c>
    </row>
    <row r="9" spans="1:2" ht="29" x14ac:dyDescent="0.35">
      <c r="A9" s="2" t="s">
        <v>480</v>
      </c>
      <c r="B9" s="2">
        <f>SUMIF('Scoring Matrix'!$A:$A, A9, 'Scoring Matrix'!$I:$I) /
 (COUNTIF('Scoring Matrix'!$A:$A, A9) * 15) * 100</f>
        <v>60</v>
      </c>
    </row>
    <row r="10" spans="1:2" ht="29" x14ac:dyDescent="0.35">
      <c r="A10" s="18" t="s">
        <v>481</v>
      </c>
      <c r="B10" s="2">
        <f>SUMIF('Scoring Matrix'!$A:$A, A10, 'Scoring Matrix'!$I:$I) /
 (COUNTIF('Scoring Matrix'!$A:$A, A10) * 15) * 100</f>
        <v>60</v>
      </c>
    </row>
    <row r="11" spans="1:2" ht="29" x14ac:dyDescent="0.35">
      <c r="A11" s="18" t="s">
        <v>482</v>
      </c>
      <c r="B11" s="2">
        <f>SUMIF('Scoring Matrix'!$A:$A, A11, 'Scoring Matrix'!$I:$I) /
 (COUNTIF('Scoring Matrix'!$A:$A, A11) * 15) * 100</f>
        <v>60</v>
      </c>
    </row>
    <row r="12" spans="1:2" x14ac:dyDescent="0.35">
      <c r="A12" s="18" t="s">
        <v>483</v>
      </c>
      <c r="B12" s="2">
        <f>SUMIF('Scoring Matrix'!$A:$A, A12, 'Scoring Matrix'!$I:$I) /
 (COUNTIF('Scoring Matrix'!$A:$A, A12) * 15) * 100</f>
        <v>60</v>
      </c>
    </row>
    <row r="13" spans="1:2" ht="29" x14ac:dyDescent="0.35">
      <c r="A13" s="18" t="s">
        <v>484</v>
      </c>
      <c r="B13" s="2">
        <f>SUMIF('Scoring Matrix'!$A:$A, A13, 'Scoring Matrix'!$I:$I) /
 (COUNTIF('Scoring Matrix'!$A:$A, A13) * 15) * 100</f>
        <v>60</v>
      </c>
    </row>
    <row r="14" spans="1:2" ht="29" x14ac:dyDescent="0.35">
      <c r="A14" s="2" t="s">
        <v>488</v>
      </c>
      <c r="B14" s="2">
        <f>SUMIF('Scoring Matrix'!$A:$A, A14, 'Scoring Matrix'!$I:$I) /
 (COUNTIF('Scoring Matrix'!$A:$A, A14) * 15) * 100</f>
        <v>60</v>
      </c>
    </row>
    <row r="15" spans="1:2" ht="29" x14ac:dyDescent="0.35">
      <c r="A15" s="19" t="s">
        <v>489</v>
      </c>
      <c r="B15" s="2">
        <f>SUMIF('Scoring Matrix'!$A:$A, A15, 'Scoring Matrix'!$I:$I) /
 (COUNTIF('Scoring Matrix'!$A:$A, A15) * 15) * 100</f>
        <v>62</v>
      </c>
    </row>
    <row r="16" spans="1:2" ht="29" x14ac:dyDescent="0.35">
      <c r="A16" s="19" t="s">
        <v>490</v>
      </c>
      <c r="B16" s="2">
        <f>SUMIF('Scoring Matrix'!$A:$A, A16, 'Scoring Matrix'!$I:$I) /
 (COUNTIF('Scoring Matrix'!$A:$A, A16) * 15) * 100</f>
        <v>80</v>
      </c>
    </row>
    <row r="17" spans="1:2" ht="29" x14ac:dyDescent="0.35">
      <c r="A17" s="19" t="s">
        <v>491</v>
      </c>
      <c r="B17" s="2">
        <f>SUMIF('Scoring Matrix'!$A:$A, A17, 'Scoring Matrix'!$I:$I) /
 (COUNTIF('Scoring Matrix'!$A:$A, A17) * 15) * 100</f>
        <v>80</v>
      </c>
    </row>
  </sheetData>
  <conditionalFormatting sqref="B2:B17 B7176:B1048576">
    <cfRule type="cellIs" dxfId="4" priority="1" operator="greaterThan">
      <formula>80</formula>
    </cfRule>
    <cfRule type="cellIs" dxfId="3" priority="2" operator="between">
      <formula>61</formula>
      <formula>80</formula>
    </cfRule>
    <cfRule type="cellIs" dxfId="2" priority="3" operator="between">
      <formula>41</formula>
      <formula>60</formula>
    </cfRule>
    <cfRule type="cellIs" dxfId="1" priority="4" operator="between">
      <formula>21</formula>
      <formula>40</formula>
    </cfRule>
    <cfRule type="cellIs" dxfId="0" priority="5" operator="lessThanOrEqual">
      <formula>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E5E4B-73C2-4BC2-8A30-3B5B4F224CAB}">
  <dimension ref="A1:B18"/>
  <sheetViews>
    <sheetView workbookViewId="0">
      <selection activeCell="B4" sqref="B4"/>
    </sheetView>
  </sheetViews>
  <sheetFormatPr defaultRowHeight="14.5" x14ac:dyDescent="0.35"/>
  <cols>
    <col min="1" max="1" width="34.1796875" bestFit="1" customWidth="1"/>
  </cols>
  <sheetData>
    <row r="1" spans="1:2" x14ac:dyDescent="0.35">
      <c r="A1" t="s">
        <v>485</v>
      </c>
      <c r="B1" t="s">
        <v>486</v>
      </c>
    </row>
    <row r="2" spans="1:2" x14ac:dyDescent="0.35">
      <c r="A2" t="s">
        <v>467</v>
      </c>
      <c r="B2" t="s">
        <v>487</v>
      </c>
    </row>
    <row r="3" spans="1:2" x14ac:dyDescent="0.35">
      <c r="A3" s="2" t="s">
        <v>474</v>
      </c>
      <c r="B3">
        <f xml:space="preserve"> 'Domain Summary'!B2</f>
        <v>76</v>
      </c>
    </row>
    <row r="4" spans="1:2" x14ac:dyDescent="0.35">
      <c r="A4" s="2" t="s">
        <v>473</v>
      </c>
      <c r="B4">
        <f xml:space="preserve"> 'Domain Summary'!B3</f>
        <v>23.333333333333332</v>
      </c>
    </row>
    <row r="5" spans="1:2" x14ac:dyDescent="0.35">
      <c r="A5" s="2" t="s">
        <v>475</v>
      </c>
      <c r="B5">
        <f xml:space="preserve"> 'Domain Summary'!B4</f>
        <v>60</v>
      </c>
    </row>
    <row r="6" spans="1:2" x14ac:dyDescent="0.35">
      <c r="A6" s="2" t="s">
        <v>476</v>
      </c>
      <c r="B6">
        <f xml:space="preserve"> 'Domain Summary'!B5</f>
        <v>60</v>
      </c>
    </row>
    <row r="7" spans="1:2" ht="29" x14ac:dyDescent="0.35">
      <c r="A7" s="2" t="s">
        <v>477</v>
      </c>
      <c r="B7">
        <f xml:space="preserve"> 'Domain Summary'!B6</f>
        <v>60</v>
      </c>
    </row>
    <row r="8" spans="1:2" ht="29" x14ac:dyDescent="0.35">
      <c r="A8" s="2" t="s">
        <v>478</v>
      </c>
      <c r="B8">
        <f xml:space="preserve"> 'Domain Summary'!B7</f>
        <v>60</v>
      </c>
    </row>
    <row r="9" spans="1:2" ht="29" x14ac:dyDescent="0.35">
      <c r="A9" s="2" t="s">
        <v>479</v>
      </c>
      <c r="B9">
        <f xml:space="preserve"> 'Domain Summary'!B8</f>
        <v>60</v>
      </c>
    </row>
    <row r="10" spans="1:2" ht="29" x14ac:dyDescent="0.35">
      <c r="A10" s="2" t="s">
        <v>480</v>
      </c>
      <c r="B10">
        <f xml:space="preserve"> 'Domain Summary'!B9</f>
        <v>60</v>
      </c>
    </row>
    <row r="11" spans="1:2" ht="29" x14ac:dyDescent="0.35">
      <c r="A11" s="18" t="s">
        <v>481</v>
      </c>
      <c r="B11">
        <f xml:space="preserve"> 'Domain Summary'!B10</f>
        <v>60</v>
      </c>
    </row>
    <row r="12" spans="1:2" ht="29" x14ac:dyDescent="0.35">
      <c r="A12" s="18" t="s">
        <v>482</v>
      </c>
      <c r="B12">
        <f xml:space="preserve"> 'Domain Summary'!B11</f>
        <v>60</v>
      </c>
    </row>
    <row r="13" spans="1:2" ht="29" x14ac:dyDescent="0.35">
      <c r="A13" s="18" t="s">
        <v>483</v>
      </c>
      <c r="B13">
        <f xml:space="preserve"> 'Domain Summary'!B12</f>
        <v>60</v>
      </c>
    </row>
    <row r="14" spans="1:2" ht="29" x14ac:dyDescent="0.35">
      <c r="A14" s="18" t="s">
        <v>484</v>
      </c>
      <c r="B14">
        <f xml:space="preserve"> 'Domain Summary'!B13</f>
        <v>60</v>
      </c>
    </row>
    <row r="15" spans="1:2" ht="29" x14ac:dyDescent="0.35">
      <c r="A15" s="2" t="s">
        <v>488</v>
      </c>
      <c r="B15">
        <f xml:space="preserve"> 'Domain Summary'!B14</f>
        <v>60</v>
      </c>
    </row>
    <row r="16" spans="1:2" ht="29" x14ac:dyDescent="0.35">
      <c r="A16" s="19" t="s">
        <v>489</v>
      </c>
      <c r="B16">
        <f xml:space="preserve"> 'Domain Summary'!B15</f>
        <v>62</v>
      </c>
    </row>
    <row r="17" spans="1:2" ht="29" x14ac:dyDescent="0.35">
      <c r="A17" s="19" t="s">
        <v>490</v>
      </c>
      <c r="B17">
        <f xml:space="preserve"> 'Domain Summary'!B16</f>
        <v>80</v>
      </c>
    </row>
    <row r="18" spans="1:2" ht="43.5" x14ac:dyDescent="0.35">
      <c r="A18" s="19" t="s">
        <v>491</v>
      </c>
      <c r="B18">
        <f xml:space="preserve"> 'Domain Summary'!B17</f>
        <v>80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F4A14-2C67-46A9-918E-9B7B70BDD9B0}">
  <dimension ref="A2:H109"/>
  <sheetViews>
    <sheetView topLeftCell="A6" workbookViewId="0">
      <selection activeCell="A5" sqref="A5"/>
    </sheetView>
  </sheetViews>
  <sheetFormatPr defaultColWidth="34" defaultRowHeight="14.5" x14ac:dyDescent="0.35"/>
  <cols>
    <col min="6" max="6" width="37.26953125" customWidth="1"/>
  </cols>
  <sheetData>
    <row r="2" spans="1:8" x14ac:dyDescent="0.35">
      <c r="A2" s="26" t="s">
        <v>446</v>
      </c>
      <c r="B2" s="26"/>
      <c r="C2" s="26"/>
      <c r="E2" s="10" t="s">
        <v>447</v>
      </c>
      <c r="F2" s="12"/>
    </row>
    <row r="3" spans="1:8" ht="17.5" x14ac:dyDescent="0.35">
      <c r="A3" s="7" t="s">
        <v>431</v>
      </c>
      <c r="B3" s="7" t="s">
        <v>432</v>
      </c>
      <c r="C3" s="7" t="s">
        <v>433</v>
      </c>
      <c r="E3" s="11" t="s">
        <v>448</v>
      </c>
      <c r="F3" s="12"/>
    </row>
    <row r="4" spans="1:8" ht="58" x14ac:dyDescent="0.35">
      <c r="A4" s="8">
        <v>0</v>
      </c>
      <c r="B4" s="8" t="s">
        <v>434</v>
      </c>
      <c r="C4" s="9" t="s">
        <v>435</v>
      </c>
      <c r="E4" s="12" t="s">
        <v>449</v>
      </c>
      <c r="F4" s="14" t="s">
        <v>450</v>
      </c>
    </row>
    <row r="5" spans="1:8" ht="72.5" x14ac:dyDescent="0.35">
      <c r="A5" s="8">
        <v>1</v>
      </c>
      <c r="B5" s="8" t="s">
        <v>436</v>
      </c>
      <c r="C5" s="9" t="s">
        <v>437</v>
      </c>
      <c r="E5" s="13"/>
      <c r="F5" s="14" t="s">
        <v>525</v>
      </c>
    </row>
    <row r="6" spans="1:8" ht="72.5" x14ac:dyDescent="0.35">
      <c r="A6" s="8">
        <v>2</v>
      </c>
      <c r="B6" s="8" t="s">
        <v>438</v>
      </c>
      <c r="C6" s="9" t="s">
        <v>439</v>
      </c>
      <c r="E6" s="12" t="s">
        <v>451</v>
      </c>
      <c r="F6" s="12"/>
    </row>
    <row r="7" spans="1:8" ht="72.5" x14ac:dyDescent="0.35">
      <c r="A7" s="8">
        <v>3</v>
      </c>
      <c r="B7" s="8" t="s">
        <v>440</v>
      </c>
      <c r="C7" s="9" t="s">
        <v>441</v>
      </c>
    </row>
    <row r="8" spans="1:8" ht="72.5" x14ac:dyDescent="0.35">
      <c r="A8" s="8">
        <v>4</v>
      </c>
      <c r="B8" s="8" t="s">
        <v>442</v>
      </c>
      <c r="C8" s="9" t="s">
        <v>443</v>
      </c>
    </row>
    <row r="9" spans="1:8" ht="72.5" x14ac:dyDescent="0.35">
      <c r="A9" s="8">
        <v>5</v>
      </c>
      <c r="B9" s="8" t="s">
        <v>444</v>
      </c>
      <c r="C9" s="9" t="s">
        <v>445</v>
      </c>
    </row>
    <row r="10" spans="1:8" x14ac:dyDescent="0.35">
      <c r="A10" s="5"/>
      <c r="E10" s="27" t="s">
        <v>526</v>
      </c>
      <c r="F10" s="27"/>
      <c r="G10" s="27"/>
      <c r="H10" s="27"/>
    </row>
    <row r="11" spans="1:8" x14ac:dyDescent="0.35">
      <c r="A11" s="6"/>
      <c r="E11" s="7" t="s">
        <v>527</v>
      </c>
      <c r="F11" s="7" t="s">
        <v>431</v>
      </c>
      <c r="G11" s="7" t="s">
        <v>528</v>
      </c>
      <c r="H11" s="7" t="s">
        <v>455</v>
      </c>
    </row>
    <row r="12" spans="1:8" x14ac:dyDescent="0.35">
      <c r="A12" s="27" t="s">
        <v>452</v>
      </c>
      <c r="B12" s="27"/>
      <c r="C12" s="27"/>
      <c r="E12" s="8" t="s">
        <v>529</v>
      </c>
      <c r="F12" s="9" t="s">
        <v>530</v>
      </c>
      <c r="G12" s="8" t="s">
        <v>531</v>
      </c>
      <c r="H12" s="9" t="s">
        <v>462</v>
      </c>
    </row>
    <row r="13" spans="1:8" x14ac:dyDescent="0.35">
      <c r="A13" s="7" t="s">
        <v>453</v>
      </c>
      <c r="B13" s="7" t="s">
        <v>454</v>
      </c>
      <c r="C13" s="7" t="s">
        <v>455</v>
      </c>
      <c r="E13" s="8" t="s">
        <v>532</v>
      </c>
      <c r="F13" s="9" t="s">
        <v>533</v>
      </c>
      <c r="G13" s="8" t="s">
        <v>457</v>
      </c>
      <c r="H13" s="9" t="s">
        <v>463</v>
      </c>
    </row>
    <row r="14" spans="1:8" x14ac:dyDescent="0.35">
      <c r="A14" s="8" t="s">
        <v>456</v>
      </c>
      <c r="B14" s="9" t="s">
        <v>457</v>
      </c>
      <c r="C14" s="9" t="s">
        <v>462</v>
      </c>
      <c r="E14" s="8" t="s">
        <v>534</v>
      </c>
      <c r="F14" s="9" t="s">
        <v>535</v>
      </c>
      <c r="G14" s="8" t="s">
        <v>536</v>
      </c>
      <c r="H14" s="9" t="s">
        <v>464</v>
      </c>
    </row>
    <row r="15" spans="1:8" x14ac:dyDescent="0.35">
      <c r="A15" s="8">
        <v>2</v>
      </c>
      <c r="B15" s="9" t="s">
        <v>458</v>
      </c>
      <c r="C15" s="9" t="s">
        <v>463</v>
      </c>
      <c r="E15" s="8" t="s">
        <v>537</v>
      </c>
      <c r="F15" s="9" t="s">
        <v>538</v>
      </c>
      <c r="G15" s="8" t="s">
        <v>539</v>
      </c>
      <c r="H15" s="9" t="s">
        <v>465</v>
      </c>
    </row>
    <row r="16" spans="1:8" x14ac:dyDescent="0.35">
      <c r="A16" s="8">
        <v>3</v>
      </c>
      <c r="B16" s="9" t="s">
        <v>459</v>
      </c>
      <c r="C16" s="9" t="s">
        <v>464</v>
      </c>
      <c r="E16" s="8" t="s">
        <v>540</v>
      </c>
      <c r="F16" s="9" t="s">
        <v>541</v>
      </c>
      <c r="G16" s="8" t="s">
        <v>542</v>
      </c>
      <c r="H16" s="9" t="s">
        <v>466</v>
      </c>
    </row>
    <row r="17" spans="1:3" x14ac:dyDescent="0.35">
      <c r="A17" s="8">
        <v>4</v>
      </c>
      <c r="B17" s="9" t="s">
        <v>460</v>
      </c>
      <c r="C17" s="9" t="s">
        <v>465</v>
      </c>
    </row>
    <row r="18" spans="1:3" x14ac:dyDescent="0.35">
      <c r="A18" s="8">
        <v>5</v>
      </c>
      <c r="B18" s="9" t="s">
        <v>461</v>
      </c>
      <c r="C18" s="9" t="s">
        <v>466</v>
      </c>
    </row>
    <row r="19" spans="1:3" x14ac:dyDescent="0.35">
      <c r="A19" s="6"/>
    </row>
    <row r="20" spans="1:3" x14ac:dyDescent="0.35">
      <c r="A20" s="5"/>
    </row>
    <row r="21" spans="1:3" x14ac:dyDescent="0.35">
      <c r="A21" s="6"/>
    </row>
    <row r="22" spans="1:3" x14ac:dyDescent="0.35">
      <c r="A22" s="5"/>
    </row>
    <row r="23" spans="1:3" x14ac:dyDescent="0.35">
      <c r="A23" s="6"/>
    </row>
    <row r="24" spans="1:3" x14ac:dyDescent="0.35">
      <c r="A24" s="5"/>
    </row>
    <row r="25" spans="1:3" x14ac:dyDescent="0.35">
      <c r="A25" s="6"/>
    </row>
    <row r="27" spans="1:3" ht="17.5" x14ac:dyDescent="0.35">
      <c r="A27" s="4"/>
    </row>
    <row r="28" spans="1:3" x14ac:dyDescent="0.35">
      <c r="A28" s="5"/>
    </row>
    <row r="29" spans="1:3" x14ac:dyDescent="0.35">
      <c r="A29" s="6"/>
    </row>
    <row r="30" spans="1:3" x14ac:dyDescent="0.35">
      <c r="A30" s="5"/>
    </row>
    <row r="31" spans="1:3" x14ac:dyDescent="0.35">
      <c r="A31" s="6"/>
    </row>
    <row r="32" spans="1:3" x14ac:dyDescent="0.35">
      <c r="A32" s="5"/>
    </row>
    <row r="33" spans="1:1" x14ac:dyDescent="0.35">
      <c r="A33" s="6"/>
    </row>
    <row r="34" spans="1:1" x14ac:dyDescent="0.35">
      <c r="A34" s="5"/>
    </row>
    <row r="35" spans="1:1" x14ac:dyDescent="0.35">
      <c r="A35" s="6"/>
    </row>
    <row r="36" spans="1:1" x14ac:dyDescent="0.35">
      <c r="A36" s="5"/>
    </row>
    <row r="37" spans="1:1" x14ac:dyDescent="0.35">
      <c r="A37" s="6"/>
    </row>
    <row r="38" spans="1:1" x14ac:dyDescent="0.35">
      <c r="A38" s="5"/>
    </row>
    <row r="39" spans="1:1" x14ac:dyDescent="0.35">
      <c r="A39" s="6"/>
    </row>
    <row r="40" spans="1:1" x14ac:dyDescent="0.35">
      <c r="A40" s="5"/>
    </row>
    <row r="41" spans="1:1" x14ac:dyDescent="0.35">
      <c r="A41" s="6"/>
    </row>
    <row r="42" spans="1:1" x14ac:dyDescent="0.35">
      <c r="A42" s="5"/>
    </row>
    <row r="43" spans="1:1" x14ac:dyDescent="0.35">
      <c r="A43" s="6"/>
    </row>
    <row r="44" spans="1:1" x14ac:dyDescent="0.35">
      <c r="A44" s="5"/>
    </row>
    <row r="45" spans="1:1" x14ac:dyDescent="0.35">
      <c r="A45" s="6"/>
    </row>
    <row r="46" spans="1:1" x14ac:dyDescent="0.35">
      <c r="A46" s="5"/>
    </row>
    <row r="47" spans="1:1" x14ac:dyDescent="0.35">
      <c r="A47" s="6"/>
    </row>
    <row r="48" spans="1:1" x14ac:dyDescent="0.35">
      <c r="A48" s="5"/>
    </row>
    <row r="49" spans="1:1" x14ac:dyDescent="0.35">
      <c r="A49" s="6"/>
    </row>
    <row r="50" spans="1:1" x14ac:dyDescent="0.35">
      <c r="A50" s="5"/>
    </row>
    <row r="51" spans="1:1" x14ac:dyDescent="0.35">
      <c r="A51" s="6"/>
    </row>
    <row r="52" spans="1:1" x14ac:dyDescent="0.35">
      <c r="A52" s="5"/>
    </row>
    <row r="53" spans="1:1" x14ac:dyDescent="0.35">
      <c r="A53" s="6"/>
    </row>
    <row r="54" spans="1:1" x14ac:dyDescent="0.35">
      <c r="A54" s="5"/>
    </row>
    <row r="55" spans="1:1" x14ac:dyDescent="0.35">
      <c r="A55" s="6"/>
    </row>
    <row r="57" spans="1:1" ht="17.5" x14ac:dyDescent="0.35">
      <c r="A57" s="4"/>
    </row>
    <row r="58" spans="1:1" x14ac:dyDescent="0.35">
      <c r="A58" s="5"/>
    </row>
    <row r="59" spans="1:1" x14ac:dyDescent="0.35">
      <c r="A59" s="6"/>
    </row>
    <row r="60" spans="1:1" x14ac:dyDescent="0.35">
      <c r="A60" s="5"/>
    </row>
    <row r="61" spans="1:1" x14ac:dyDescent="0.35">
      <c r="A61" s="6"/>
    </row>
    <row r="62" spans="1:1" x14ac:dyDescent="0.35">
      <c r="A62" s="5"/>
    </row>
    <row r="63" spans="1:1" x14ac:dyDescent="0.35">
      <c r="A63" s="6"/>
    </row>
    <row r="64" spans="1:1" x14ac:dyDescent="0.35">
      <c r="A64" s="5"/>
    </row>
    <row r="65" spans="1:1" x14ac:dyDescent="0.35">
      <c r="A65" s="6"/>
    </row>
    <row r="66" spans="1:1" x14ac:dyDescent="0.35">
      <c r="A66" s="5"/>
    </row>
    <row r="67" spans="1:1" x14ac:dyDescent="0.35">
      <c r="A67" s="6"/>
    </row>
    <row r="68" spans="1:1" x14ac:dyDescent="0.35">
      <c r="A68" s="5"/>
    </row>
    <row r="69" spans="1:1" x14ac:dyDescent="0.35">
      <c r="A69" s="6"/>
    </row>
    <row r="71" spans="1:1" ht="17.5" x14ac:dyDescent="0.35">
      <c r="A71" s="4"/>
    </row>
    <row r="72" spans="1:1" x14ac:dyDescent="0.35">
      <c r="A72" s="5"/>
    </row>
    <row r="73" spans="1:1" x14ac:dyDescent="0.35">
      <c r="A73" s="6"/>
    </row>
    <row r="74" spans="1:1" x14ac:dyDescent="0.35">
      <c r="A74" s="5"/>
    </row>
    <row r="75" spans="1:1" x14ac:dyDescent="0.35">
      <c r="A75" s="6"/>
    </row>
    <row r="76" spans="1:1" x14ac:dyDescent="0.35">
      <c r="A76" s="5"/>
    </row>
    <row r="77" spans="1:1" x14ac:dyDescent="0.35">
      <c r="A77" s="6"/>
    </row>
    <row r="78" spans="1:1" x14ac:dyDescent="0.35">
      <c r="A78" s="5"/>
    </row>
    <row r="79" spans="1:1" x14ac:dyDescent="0.35">
      <c r="A79" s="6"/>
    </row>
    <row r="80" spans="1:1" x14ac:dyDescent="0.35">
      <c r="A80" s="5"/>
    </row>
    <row r="81" spans="1:1" x14ac:dyDescent="0.35">
      <c r="A81" s="6"/>
    </row>
    <row r="83" spans="1:1" ht="17.5" x14ac:dyDescent="0.35">
      <c r="A83" s="4"/>
    </row>
    <row r="84" spans="1:1" x14ac:dyDescent="0.35">
      <c r="A84" s="5"/>
    </row>
    <row r="85" spans="1:1" x14ac:dyDescent="0.35">
      <c r="A85" s="6"/>
    </row>
    <row r="86" spans="1:1" x14ac:dyDescent="0.35">
      <c r="A86" s="5"/>
    </row>
    <row r="87" spans="1:1" x14ac:dyDescent="0.35">
      <c r="A87" s="6"/>
    </row>
    <row r="88" spans="1:1" x14ac:dyDescent="0.35">
      <c r="A88" s="5"/>
    </row>
    <row r="89" spans="1:1" x14ac:dyDescent="0.35">
      <c r="A89" s="6"/>
    </row>
    <row r="90" spans="1:1" x14ac:dyDescent="0.35">
      <c r="A90" s="5"/>
    </row>
    <row r="91" spans="1:1" x14ac:dyDescent="0.35">
      <c r="A91" s="6"/>
    </row>
    <row r="92" spans="1:1" x14ac:dyDescent="0.35">
      <c r="A92" s="5"/>
    </row>
    <row r="93" spans="1:1" x14ac:dyDescent="0.35">
      <c r="A93" s="6"/>
    </row>
    <row r="94" spans="1:1" x14ac:dyDescent="0.35">
      <c r="A94" s="5"/>
    </row>
    <row r="95" spans="1:1" x14ac:dyDescent="0.35">
      <c r="A95" s="6"/>
    </row>
    <row r="97" spans="1:1" ht="17.5" x14ac:dyDescent="0.35">
      <c r="A97" s="4"/>
    </row>
    <row r="98" spans="1:1" x14ac:dyDescent="0.35">
      <c r="A98" s="5"/>
    </row>
    <row r="99" spans="1:1" x14ac:dyDescent="0.35">
      <c r="A99" s="6"/>
    </row>
    <row r="100" spans="1:1" x14ac:dyDescent="0.35">
      <c r="A100" s="5"/>
    </row>
    <row r="101" spans="1:1" x14ac:dyDescent="0.35">
      <c r="A101" s="6"/>
    </row>
    <row r="102" spans="1:1" x14ac:dyDescent="0.35">
      <c r="A102" s="5"/>
    </row>
    <row r="103" spans="1:1" x14ac:dyDescent="0.35">
      <c r="A103" s="6"/>
    </row>
    <row r="104" spans="1:1" x14ac:dyDescent="0.35">
      <c r="A104" s="5"/>
    </row>
    <row r="105" spans="1:1" x14ac:dyDescent="0.35">
      <c r="A105" s="6"/>
    </row>
    <row r="106" spans="1:1" x14ac:dyDescent="0.35">
      <c r="A106" s="5"/>
    </row>
    <row r="107" spans="1:1" x14ac:dyDescent="0.35">
      <c r="A107" s="6"/>
    </row>
    <row r="108" spans="1:1" x14ac:dyDescent="0.35">
      <c r="A108" s="5"/>
    </row>
    <row r="109" spans="1:1" x14ac:dyDescent="0.35">
      <c r="A109" s="6"/>
    </row>
  </sheetData>
  <mergeCells count="3">
    <mergeCell ref="A2:C2"/>
    <mergeCell ref="A12:C12"/>
    <mergeCell ref="E10:H10"/>
  </mergeCells>
  <pageMargins left="0.7" right="0.7" top="0.75" bottom="0.75" header="0.3" footer="0.3"/>
  <headerFooter>
    <oddHeader>&amp;C&amp;"Aptos"&amp;11&amp;K000000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E1F23-5BEE-4754-89CC-A949A83F99CD}">
  <dimension ref="A1:H100"/>
  <sheetViews>
    <sheetView workbookViewId="0">
      <selection activeCell="F2" sqref="F2:F100"/>
    </sheetView>
  </sheetViews>
  <sheetFormatPr defaultColWidth="33.7265625" defaultRowHeight="14.5" x14ac:dyDescent="0.35"/>
  <cols>
    <col min="1" max="1" width="33.7265625" style="18"/>
    <col min="2" max="2" width="33.7265625" style="17"/>
  </cols>
  <sheetData>
    <row r="1" spans="1:8" ht="29" x14ac:dyDescent="0.35">
      <c r="A1" s="24" t="s">
        <v>467</v>
      </c>
      <c r="B1" s="24" t="s">
        <v>0</v>
      </c>
      <c r="C1" s="1" t="s">
        <v>1</v>
      </c>
      <c r="D1" s="1" t="s">
        <v>720</v>
      </c>
      <c r="E1" s="1" t="s">
        <v>721</v>
      </c>
      <c r="F1" s="1" t="s">
        <v>722</v>
      </c>
      <c r="G1" s="1" t="s">
        <v>723</v>
      </c>
      <c r="H1" s="1" t="s">
        <v>724</v>
      </c>
    </row>
    <row r="2" spans="1:8" ht="101.5" x14ac:dyDescent="0.35">
      <c r="A2" s="2" t="s">
        <v>474</v>
      </c>
      <c r="B2" s="24">
        <v>1.1000000000000001</v>
      </c>
      <c r="C2" s="2" t="s">
        <v>11</v>
      </c>
      <c r="D2" s="2" t="s">
        <v>725</v>
      </c>
      <c r="E2" s="3" t="s">
        <v>726</v>
      </c>
      <c r="F2" s="2" t="s">
        <v>727</v>
      </c>
      <c r="G2" s="3" t="s">
        <v>728</v>
      </c>
      <c r="H2" s="3" t="s">
        <v>729</v>
      </c>
    </row>
    <row r="3" spans="1:8" ht="116" x14ac:dyDescent="0.35">
      <c r="A3" s="2" t="s">
        <v>474</v>
      </c>
      <c r="B3" s="24">
        <v>1.2</v>
      </c>
      <c r="C3" s="2" t="s">
        <v>42</v>
      </c>
      <c r="D3" s="2" t="s">
        <v>730</v>
      </c>
      <c r="E3" s="3" t="s">
        <v>731</v>
      </c>
      <c r="F3" s="2" t="s">
        <v>732</v>
      </c>
      <c r="G3" s="3" t="s">
        <v>733</v>
      </c>
      <c r="H3" s="3" t="s">
        <v>734</v>
      </c>
    </row>
    <row r="4" spans="1:8" ht="130.5" x14ac:dyDescent="0.35">
      <c r="A4" s="2" t="s">
        <v>474</v>
      </c>
      <c r="B4" s="24">
        <v>1.3</v>
      </c>
      <c r="C4" s="2" t="s">
        <v>44</v>
      </c>
      <c r="D4" s="2" t="s">
        <v>735</v>
      </c>
      <c r="E4" s="3" t="s">
        <v>736</v>
      </c>
      <c r="F4" s="2" t="s">
        <v>737</v>
      </c>
      <c r="G4" s="3" t="s">
        <v>738</v>
      </c>
      <c r="H4" s="3" t="s">
        <v>739</v>
      </c>
    </row>
    <row r="5" spans="1:8" ht="130.5" x14ac:dyDescent="0.35">
      <c r="A5" s="2" t="s">
        <v>474</v>
      </c>
      <c r="B5" s="24">
        <v>1.4</v>
      </c>
      <c r="C5" s="2" t="s">
        <v>46</v>
      </c>
      <c r="D5" s="2" t="s">
        <v>740</v>
      </c>
      <c r="E5" s="3" t="s">
        <v>741</v>
      </c>
      <c r="F5" s="2" t="s">
        <v>742</v>
      </c>
      <c r="G5" s="3" t="s">
        <v>743</v>
      </c>
      <c r="H5" s="3" t="s">
        <v>744</v>
      </c>
    </row>
    <row r="6" spans="1:8" ht="188.5" x14ac:dyDescent="0.35">
      <c r="A6" s="2" t="s">
        <v>474</v>
      </c>
      <c r="B6" s="24">
        <v>1.5</v>
      </c>
      <c r="C6" s="2" t="s">
        <v>48</v>
      </c>
      <c r="D6" s="2" t="s">
        <v>745</v>
      </c>
      <c r="E6" s="3" t="s">
        <v>746</v>
      </c>
      <c r="F6" s="2" t="s">
        <v>747</v>
      </c>
      <c r="G6" s="3" t="s">
        <v>748</v>
      </c>
      <c r="H6" s="3" t="s">
        <v>749</v>
      </c>
    </row>
    <row r="7" spans="1:8" ht="203" x14ac:dyDescent="0.35">
      <c r="A7" s="2" t="s">
        <v>473</v>
      </c>
      <c r="B7" s="24">
        <v>2.1</v>
      </c>
      <c r="C7" s="2" t="s">
        <v>50</v>
      </c>
      <c r="D7" s="2" t="s">
        <v>51</v>
      </c>
      <c r="E7" s="3" t="s">
        <v>750</v>
      </c>
      <c r="F7" s="2" t="s">
        <v>751</v>
      </c>
      <c r="G7" s="3" t="s">
        <v>752</v>
      </c>
      <c r="H7" s="3" t="s">
        <v>753</v>
      </c>
    </row>
    <row r="8" spans="1:8" ht="188.5" x14ac:dyDescent="0.35">
      <c r="A8" s="2" t="s">
        <v>473</v>
      </c>
      <c r="B8" s="24">
        <v>2.2000000000000002</v>
      </c>
      <c r="C8" s="2" t="s">
        <v>52</v>
      </c>
      <c r="D8" s="2" t="s">
        <v>759</v>
      </c>
      <c r="E8" s="3" t="s">
        <v>760</v>
      </c>
      <c r="F8" s="2" t="s">
        <v>761</v>
      </c>
      <c r="G8" s="3" t="s">
        <v>762</v>
      </c>
      <c r="H8" s="3" t="s">
        <v>763</v>
      </c>
    </row>
    <row r="9" spans="1:8" ht="159.5" x14ac:dyDescent="0.35">
      <c r="A9" s="2" t="s">
        <v>473</v>
      </c>
      <c r="B9" s="24">
        <v>2.2999999999999998</v>
      </c>
      <c r="C9" s="2" t="s">
        <v>5</v>
      </c>
      <c r="D9" s="2" t="s">
        <v>754</v>
      </c>
      <c r="E9" s="3" t="s">
        <v>755</v>
      </c>
      <c r="F9" s="2" t="s">
        <v>756</v>
      </c>
      <c r="G9" s="3" t="s">
        <v>757</v>
      </c>
      <c r="H9" s="3" t="s">
        <v>758</v>
      </c>
    </row>
    <row r="10" spans="1:8" ht="188.5" x14ac:dyDescent="0.35">
      <c r="A10" s="2" t="s">
        <v>473</v>
      </c>
      <c r="B10" s="24">
        <v>2.4</v>
      </c>
      <c r="C10" s="2" t="s">
        <v>6</v>
      </c>
      <c r="D10" s="2" t="s">
        <v>764</v>
      </c>
      <c r="E10" s="3" t="s">
        <v>765</v>
      </c>
      <c r="F10" s="2" t="s">
        <v>766</v>
      </c>
      <c r="G10" s="3" t="s">
        <v>767</v>
      </c>
      <c r="H10" s="3" t="s">
        <v>768</v>
      </c>
    </row>
    <row r="11" spans="1:8" ht="203" x14ac:dyDescent="0.35">
      <c r="A11" s="2" t="s">
        <v>473</v>
      </c>
      <c r="B11" s="24">
        <v>2.5</v>
      </c>
      <c r="C11" s="2" t="s">
        <v>60</v>
      </c>
      <c r="D11" s="2" t="s">
        <v>769</v>
      </c>
      <c r="E11" s="3" t="s">
        <v>770</v>
      </c>
      <c r="F11" s="2" t="s">
        <v>771</v>
      </c>
      <c r="G11" s="3" t="s">
        <v>772</v>
      </c>
      <c r="H11" s="3" t="s">
        <v>773</v>
      </c>
    </row>
    <row r="12" spans="1:8" ht="159.5" x14ac:dyDescent="0.35">
      <c r="A12" s="2" t="s">
        <v>473</v>
      </c>
      <c r="B12" s="24">
        <v>2.6</v>
      </c>
      <c r="C12" s="2" t="s">
        <v>64</v>
      </c>
      <c r="D12" s="2" t="s">
        <v>774</v>
      </c>
      <c r="E12" s="3" t="s">
        <v>775</v>
      </c>
      <c r="F12" s="2" t="s">
        <v>776</v>
      </c>
      <c r="G12" s="3" t="s">
        <v>777</v>
      </c>
      <c r="H12" s="3" t="s">
        <v>778</v>
      </c>
    </row>
    <row r="13" spans="1:8" ht="87" x14ac:dyDescent="0.35">
      <c r="A13" s="2" t="s">
        <v>475</v>
      </c>
      <c r="B13" s="24">
        <v>3.1</v>
      </c>
      <c r="C13" s="2" t="s">
        <v>68</v>
      </c>
      <c r="D13" s="2" t="s">
        <v>779</v>
      </c>
      <c r="E13" s="3" t="s">
        <v>780</v>
      </c>
      <c r="F13" s="2" t="s">
        <v>781</v>
      </c>
      <c r="G13" s="3" t="s">
        <v>782</v>
      </c>
      <c r="H13" s="3" t="s">
        <v>783</v>
      </c>
    </row>
    <row r="14" spans="1:8" ht="87" x14ac:dyDescent="0.35">
      <c r="A14" s="2" t="s">
        <v>475</v>
      </c>
      <c r="B14" s="24">
        <v>3.2</v>
      </c>
      <c r="C14" s="2" t="s">
        <v>7</v>
      </c>
      <c r="D14" s="2" t="s">
        <v>784</v>
      </c>
      <c r="E14" s="3" t="s">
        <v>785</v>
      </c>
      <c r="F14" s="2" t="s">
        <v>786</v>
      </c>
      <c r="G14" s="3" t="s">
        <v>787</v>
      </c>
      <c r="H14" s="3" t="s">
        <v>788</v>
      </c>
    </row>
    <row r="15" spans="1:8" ht="101.5" x14ac:dyDescent="0.35">
      <c r="A15" s="2" t="s">
        <v>475</v>
      </c>
      <c r="B15" s="24">
        <v>3.3</v>
      </c>
      <c r="C15" s="2" t="s">
        <v>8</v>
      </c>
      <c r="D15" s="2" t="s">
        <v>789</v>
      </c>
      <c r="E15" s="3" t="s">
        <v>790</v>
      </c>
      <c r="F15" s="2" t="s">
        <v>791</v>
      </c>
      <c r="G15" s="3" t="s">
        <v>792</v>
      </c>
      <c r="H15" s="3" t="s">
        <v>793</v>
      </c>
    </row>
    <row r="16" spans="1:8" ht="87" x14ac:dyDescent="0.35">
      <c r="A16" s="2" t="s">
        <v>475</v>
      </c>
      <c r="B16" s="24">
        <v>3.4</v>
      </c>
      <c r="C16" s="2" t="s">
        <v>78</v>
      </c>
      <c r="D16" s="2" t="s">
        <v>794</v>
      </c>
      <c r="E16" s="3" t="s">
        <v>795</v>
      </c>
      <c r="F16" s="2" t="s">
        <v>796</v>
      </c>
      <c r="G16" s="3" t="s">
        <v>797</v>
      </c>
      <c r="H16" s="3" t="s">
        <v>798</v>
      </c>
    </row>
    <row r="17" spans="1:8" ht="87" x14ac:dyDescent="0.35">
      <c r="A17" s="2" t="s">
        <v>475</v>
      </c>
      <c r="B17" s="24">
        <v>3.5</v>
      </c>
      <c r="C17" s="2" t="s">
        <v>9</v>
      </c>
      <c r="D17" s="2" t="s">
        <v>799</v>
      </c>
      <c r="E17" s="3" t="s">
        <v>800</v>
      </c>
      <c r="F17" s="2" t="s">
        <v>801</v>
      </c>
      <c r="G17" s="3" t="s">
        <v>802</v>
      </c>
      <c r="H17" s="3" t="s">
        <v>803</v>
      </c>
    </row>
    <row r="18" spans="1:8" ht="101.5" x14ac:dyDescent="0.35">
      <c r="A18" s="2" t="s">
        <v>475</v>
      </c>
      <c r="B18" s="24">
        <v>3.6</v>
      </c>
      <c r="C18" s="2" t="s">
        <v>10</v>
      </c>
      <c r="D18" s="2" t="s">
        <v>804</v>
      </c>
      <c r="E18" s="3" t="s">
        <v>805</v>
      </c>
      <c r="F18" s="2" t="s">
        <v>806</v>
      </c>
      <c r="G18" s="3" t="s">
        <v>807</v>
      </c>
      <c r="H18" s="3" t="s">
        <v>808</v>
      </c>
    </row>
    <row r="19" spans="1:8" ht="130.5" x14ac:dyDescent="0.35">
      <c r="A19" s="2" t="s">
        <v>476</v>
      </c>
      <c r="B19" s="24">
        <v>4.0999999999999996</v>
      </c>
      <c r="C19" s="2" t="s">
        <v>12</v>
      </c>
      <c r="D19" s="2" t="s">
        <v>809</v>
      </c>
      <c r="E19" s="3" t="s">
        <v>810</v>
      </c>
      <c r="F19" s="2" t="s">
        <v>811</v>
      </c>
      <c r="G19" s="3" t="s">
        <v>812</v>
      </c>
      <c r="H19" s="3" t="s">
        <v>813</v>
      </c>
    </row>
    <row r="20" spans="1:8" ht="116" x14ac:dyDescent="0.35">
      <c r="A20" s="2" t="s">
        <v>476</v>
      </c>
      <c r="B20" s="24">
        <v>4.2</v>
      </c>
      <c r="C20" s="2" t="s">
        <v>13</v>
      </c>
      <c r="D20" s="2" t="s">
        <v>814</v>
      </c>
      <c r="E20" s="3" t="s">
        <v>815</v>
      </c>
      <c r="F20" s="2" t="s">
        <v>816</v>
      </c>
      <c r="G20" s="3" t="s">
        <v>817</v>
      </c>
      <c r="H20" s="3" t="s">
        <v>818</v>
      </c>
    </row>
    <row r="21" spans="1:8" ht="116" x14ac:dyDescent="0.35">
      <c r="A21" s="2" t="s">
        <v>476</v>
      </c>
      <c r="B21" s="24">
        <v>4.3</v>
      </c>
      <c r="C21" s="2" t="s">
        <v>14</v>
      </c>
      <c r="D21" s="2" t="s">
        <v>819</v>
      </c>
      <c r="E21" s="3" t="s">
        <v>820</v>
      </c>
      <c r="F21" s="2" t="s">
        <v>821</v>
      </c>
      <c r="G21" s="3" t="s">
        <v>822</v>
      </c>
      <c r="H21" s="3" t="s">
        <v>823</v>
      </c>
    </row>
    <row r="22" spans="1:8" ht="159.5" x14ac:dyDescent="0.35">
      <c r="A22" s="2" t="s">
        <v>476</v>
      </c>
      <c r="B22" s="24">
        <v>4.4000000000000004</v>
      </c>
      <c r="C22" s="2" t="s">
        <v>15</v>
      </c>
      <c r="D22" s="2" t="s">
        <v>824</v>
      </c>
      <c r="E22" s="3" t="s">
        <v>825</v>
      </c>
      <c r="F22" s="2" t="s">
        <v>826</v>
      </c>
      <c r="G22" s="3" t="s">
        <v>827</v>
      </c>
      <c r="H22" s="3" t="s">
        <v>828</v>
      </c>
    </row>
    <row r="23" spans="1:8" ht="130.5" x14ac:dyDescent="0.35">
      <c r="A23" s="2" t="s">
        <v>476</v>
      </c>
      <c r="B23" s="24">
        <v>4.5</v>
      </c>
      <c r="C23" s="2" t="s">
        <v>16</v>
      </c>
      <c r="D23" s="2" t="s">
        <v>829</v>
      </c>
      <c r="E23" s="3" t="s">
        <v>830</v>
      </c>
      <c r="F23" s="2" t="s">
        <v>831</v>
      </c>
      <c r="G23" s="3" t="s">
        <v>832</v>
      </c>
      <c r="H23" s="3" t="s">
        <v>833</v>
      </c>
    </row>
    <row r="24" spans="1:8" ht="290" x14ac:dyDescent="0.35">
      <c r="A24" s="2" t="s">
        <v>834</v>
      </c>
      <c r="B24" s="24" t="s">
        <v>17</v>
      </c>
      <c r="C24" s="2" t="s">
        <v>103</v>
      </c>
      <c r="D24" s="2" t="s">
        <v>104</v>
      </c>
      <c r="E24" s="2" t="s">
        <v>909</v>
      </c>
      <c r="F24" s="2" t="s">
        <v>838</v>
      </c>
      <c r="G24" s="2" t="s">
        <v>979</v>
      </c>
      <c r="H24" s="2" t="s">
        <v>1046</v>
      </c>
    </row>
    <row r="25" spans="1:8" ht="377" x14ac:dyDescent="0.35">
      <c r="A25" s="2" t="s">
        <v>834</v>
      </c>
      <c r="B25" s="24" t="s">
        <v>19</v>
      </c>
      <c r="C25" s="2" t="s">
        <v>107</v>
      </c>
      <c r="D25" s="2" t="s">
        <v>108</v>
      </c>
      <c r="E25" s="2" t="s">
        <v>910</v>
      </c>
      <c r="F25" s="2" t="s">
        <v>836</v>
      </c>
      <c r="G25" s="2" t="s">
        <v>980</v>
      </c>
      <c r="H25" s="2" t="s">
        <v>1047</v>
      </c>
    </row>
    <row r="26" spans="1:8" ht="275.5" x14ac:dyDescent="0.35">
      <c r="A26" s="2" t="s">
        <v>477</v>
      </c>
      <c r="B26" s="24" t="s">
        <v>21</v>
      </c>
      <c r="C26" s="2" t="s">
        <v>111</v>
      </c>
      <c r="D26" s="2" t="s">
        <v>112</v>
      </c>
      <c r="E26" s="2" t="s">
        <v>911</v>
      </c>
      <c r="F26" s="2"/>
      <c r="G26" s="2" t="s">
        <v>981</v>
      </c>
      <c r="H26" s="2" t="s">
        <v>1048</v>
      </c>
    </row>
    <row r="27" spans="1:8" ht="333.5" x14ac:dyDescent="0.35">
      <c r="A27" s="2" t="s">
        <v>477</v>
      </c>
      <c r="B27" s="24" t="s">
        <v>23</v>
      </c>
      <c r="C27" s="2" t="s">
        <v>115</v>
      </c>
      <c r="D27" s="2" t="s">
        <v>116</v>
      </c>
      <c r="E27" s="2" t="s">
        <v>912</v>
      </c>
      <c r="F27" s="2" t="s">
        <v>837</v>
      </c>
      <c r="G27" s="2" t="s">
        <v>982</v>
      </c>
      <c r="H27" s="2" t="s">
        <v>1049</v>
      </c>
    </row>
    <row r="28" spans="1:8" ht="304.5" x14ac:dyDescent="0.35">
      <c r="A28" s="2" t="s">
        <v>477</v>
      </c>
      <c r="B28" s="24" t="s">
        <v>203</v>
      </c>
      <c r="C28" s="2" t="s">
        <v>119</v>
      </c>
      <c r="D28" s="2" t="s">
        <v>120</v>
      </c>
      <c r="E28" s="2" t="s">
        <v>913</v>
      </c>
      <c r="F28" s="2" t="s">
        <v>835</v>
      </c>
      <c r="G28" s="2" t="s">
        <v>983</v>
      </c>
      <c r="H28" s="2" t="s">
        <v>1050</v>
      </c>
    </row>
    <row r="29" spans="1:8" ht="275.5" x14ac:dyDescent="0.35">
      <c r="A29" s="18" t="s">
        <v>478</v>
      </c>
      <c r="B29" s="24" t="s">
        <v>25</v>
      </c>
      <c r="C29" s="2" t="s">
        <v>123</v>
      </c>
      <c r="D29" s="2" t="s">
        <v>124</v>
      </c>
      <c r="E29" s="2" t="s">
        <v>914</v>
      </c>
      <c r="F29" s="2" t="s">
        <v>840</v>
      </c>
      <c r="G29" s="2" t="s">
        <v>984</v>
      </c>
      <c r="H29" s="2" t="s">
        <v>1051</v>
      </c>
    </row>
    <row r="30" spans="1:8" ht="246.5" x14ac:dyDescent="0.35">
      <c r="A30" s="18" t="s">
        <v>478</v>
      </c>
      <c r="B30" s="24" t="s">
        <v>26</v>
      </c>
      <c r="C30" s="2" t="s">
        <v>127</v>
      </c>
      <c r="D30" s="2" t="s">
        <v>128</v>
      </c>
      <c r="E30" s="2" t="s">
        <v>915</v>
      </c>
      <c r="F30" s="2" t="s">
        <v>841</v>
      </c>
      <c r="G30" s="2" t="s">
        <v>985</v>
      </c>
      <c r="H30" s="2" t="s">
        <v>1052</v>
      </c>
    </row>
    <row r="31" spans="1:8" ht="246.5" x14ac:dyDescent="0.35">
      <c r="A31" s="18" t="s">
        <v>478</v>
      </c>
      <c r="B31" s="24" t="s">
        <v>27</v>
      </c>
      <c r="C31" s="2" t="s">
        <v>131</v>
      </c>
      <c r="D31" s="2" t="s">
        <v>132</v>
      </c>
      <c r="E31" s="2" t="s">
        <v>916</v>
      </c>
      <c r="F31" s="2" t="s">
        <v>842</v>
      </c>
      <c r="G31" s="2" t="s">
        <v>986</v>
      </c>
      <c r="H31" s="2" t="s">
        <v>1053</v>
      </c>
    </row>
    <row r="32" spans="1:8" ht="246.5" x14ac:dyDescent="0.35">
      <c r="A32" s="18" t="s">
        <v>478</v>
      </c>
      <c r="B32" s="24" t="s">
        <v>224</v>
      </c>
      <c r="C32" s="2" t="s">
        <v>135</v>
      </c>
      <c r="D32" s="2" t="s">
        <v>136</v>
      </c>
      <c r="E32" s="2" t="s">
        <v>917</v>
      </c>
      <c r="F32" s="2" t="s">
        <v>843</v>
      </c>
      <c r="G32" s="2" t="s">
        <v>987</v>
      </c>
      <c r="H32" s="2" t="s">
        <v>1054</v>
      </c>
    </row>
    <row r="33" spans="1:8" ht="232" x14ac:dyDescent="0.35">
      <c r="A33" s="18" t="s">
        <v>478</v>
      </c>
      <c r="B33" s="24" t="s">
        <v>229</v>
      </c>
      <c r="C33" s="2" t="s">
        <v>139</v>
      </c>
      <c r="D33" s="2" t="s">
        <v>140</v>
      </c>
      <c r="E33" s="2" t="s">
        <v>918</v>
      </c>
      <c r="F33" s="2" t="s">
        <v>839</v>
      </c>
      <c r="G33" s="2" t="s">
        <v>988</v>
      </c>
      <c r="H33" s="2" t="s">
        <v>1055</v>
      </c>
    </row>
    <row r="34" spans="1:8" ht="304.5" x14ac:dyDescent="0.35">
      <c r="A34" s="18" t="s">
        <v>479</v>
      </c>
      <c r="B34" s="24" t="s">
        <v>28</v>
      </c>
      <c r="C34" s="2" t="s">
        <v>143</v>
      </c>
      <c r="D34" s="2" t="s">
        <v>144</v>
      </c>
      <c r="E34" s="2" t="s">
        <v>919</v>
      </c>
      <c r="F34" s="2" t="s">
        <v>844</v>
      </c>
      <c r="G34" s="2" t="s">
        <v>989</v>
      </c>
      <c r="H34" s="2" t="s">
        <v>1056</v>
      </c>
    </row>
    <row r="35" spans="1:8" ht="275.5" x14ac:dyDescent="0.35">
      <c r="A35" s="18" t="s">
        <v>479</v>
      </c>
      <c r="B35" s="24" t="s">
        <v>29</v>
      </c>
      <c r="C35" s="2" t="s">
        <v>147</v>
      </c>
      <c r="D35" s="2" t="s">
        <v>148</v>
      </c>
      <c r="E35" s="2" t="s">
        <v>920</v>
      </c>
      <c r="F35" s="2" t="s">
        <v>845</v>
      </c>
      <c r="G35" s="2" t="s">
        <v>990</v>
      </c>
      <c r="H35" s="2" t="s">
        <v>1057</v>
      </c>
    </row>
    <row r="36" spans="1:8" ht="290" x14ac:dyDescent="0.35">
      <c r="A36" s="18" t="s">
        <v>479</v>
      </c>
      <c r="B36" s="24" t="s">
        <v>30</v>
      </c>
      <c r="C36" s="2" t="s">
        <v>151</v>
      </c>
      <c r="D36" s="2" t="s">
        <v>152</v>
      </c>
      <c r="E36" s="2" t="s">
        <v>921</v>
      </c>
      <c r="F36" s="2" t="s">
        <v>844</v>
      </c>
      <c r="G36" s="2" t="s">
        <v>991</v>
      </c>
      <c r="H36" s="2" t="s">
        <v>1058</v>
      </c>
    </row>
    <row r="37" spans="1:8" ht="261" x14ac:dyDescent="0.35">
      <c r="A37" s="18" t="s">
        <v>479</v>
      </c>
      <c r="B37" s="24" t="s">
        <v>31</v>
      </c>
      <c r="C37" s="2" t="s">
        <v>155</v>
      </c>
      <c r="D37" s="2" t="s">
        <v>156</v>
      </c>
      <c r="E37" s="2" t="s">
        <v>922</v>
      </c>
      <c r="F37" s="2" t="s">
        <v>846</v>
      </c>
      <c r="G37" s="2" t="s">
        <v>992</v>
      </c>
      <c r="H37" s="2" t="s">
        <v>1059</v>
      </c>
    </row>
    <row r="38" spans="1:8" ht="290" x14ac:dyDescent="0.35">
      <c r="A38" s="18" t="s">
        <v>479</v>
      </c>
      <c r="B38" s="24" t="s">
        <v>250</v>
      </c>
      <c r="C38" s="2" t="s">
        <v>159</v>
      </c>
      <c r="D38" s="2" t="s">
        <v>160</v>
      </c>
      <c r="E38" s="2" t="s">
        <v>923</v>
      </c>
      <c r="F38" s="2" t="s">
        <v>847</v>
      </c>
      <c r="G38" s="2" t="s">
        <v>993</v>
      </c>
      <c r="H38" s="2" t="s">
        <v>1060</v>
      </c>
    </row>
    <row r="39" spans="1:8" ht="217.5" x14ac:dyDescent="0.35">
      <c r="A39" s="18" t="s">
        <v>479</v>
      </c>
      <c r="B39" s="24" t="s">
        <v>255</v>
      </c>
      <c r="C39" s="2" t="s">
        <v>163</v>
      </c>
      <c r="D39" s="2" t="s">
        <v>164</v>
      </c>
      <c r="E39" s="2" t="s">
        <v>924</v>
      </c>
      <c r="F39" s="2" t="s">
        <v>848</v>
      </c>
      <c r="G39" s="2" t="s">
        <v>994</v>
      </c>
      <c r="H39" s="2" t="s">
        <v>1061</v>
      </c>
    </row>
    <row r="40" spans="1:8" ht="217.5" x14ac:dyDescent="0.35">
      <c r="A40" s="18" t="s">
        <v>480</v>
      </c>
      <c r="B40" s="24" t="s">
        <v>32</v>
      </c>
      <c r="C40" s="2" t="s">
        <v>167</v>
      </c>
      <c r="D40" s="2" t="s">
        <v>168</v>
      </c>
      <c r="E40" s="2" t="s">
        <v>925</v>
      </c>
      <c r="F40" s="2" t="s">
        <v>849</v>
      </c>
      <c r="G40" s="2" t="s">
        <v>995</v>
      </c>
      <c r="H40" s="2" t="s">
        <v>1062</v>
      </c>
    </row>
    <row r="41" spans="1:8" ht="174" x14ac:dyDescent="0.35">
      <c r="A41" s="18" t="s">
        <v>480</v>
      </c>
      <c r="B41" s="24" t="s">
        <v>33</v>
      </c>
      <c r="C41" s="2" t="s">
        <v>171</v>
      </c>
      <c r="D41" s="2" t="s">
        <v>172</v>
      </c>
      <c r="E41" s="2" t="s">
        <v>926</v>
      </c>
      <c r="F41" s="2" t="s">
        <v>850</v>
      </c>
      <c r="G41" s="2" t="s">
        <v>996</v>
      </c>
      <c r="H41" s="2" t="s">
        <v>1063</v>
      </c>
    </row>
    <row r="42" spans="1:8" ht="203" x14ac:dyDescent="0.35">
      <c r="A42" s="18" t="s">
        <v>480</v>
      </c>
      <c r="B42" s="24" t="s">
        <v>34</v>
      </c>
      <c r="C42" s="2" t="s">
        <v>175</v>
      </c>
      <c r="D42" s="2" t="s">
        <v>176</v>
      </c>
      <c r="E42" s="2" t="s">
        <v>927</v>
      </c>
      <c r="F42" s="2" t="s">
        <v>851</v>
      </c>
      <c r="G42" s="2" t="s">
        <v>997</v>
      </c>
      <c r="H42" s="2" t="s">
        <v>1064</v>
      </c>
    </row>
    <row r="43" spans="1:8" ht="203" x14ac:dyDescent="0.35">
      <c r="A43" s="18" t="s">
        <v>480</v>
      </c>
      <c r="B43" s="24" t="s">
        <v>280</v>
      </c>
      <c r="C43" s="2" t="s">
        <v>179</v>
      </c>
      <c r="D43" s="2" t="s">
        <v>180</v>
      </c>
      <c r="E43" s="2" t="s">
        <v>928</v>
      </c>
      <c r="F43" s="2" t="s">
        <v>852</v>
      </c>
      <c r="G43" s="2" t="s">
        <v>998</v>
      </c>
      <c r="H43" s="2" t="s">
        <v>1065</v>
      </c>
    </row>
    <row r="44" spans="1:8" ht="188.5" x14ac:dyDescent="0.35">
      <c r="A44" s="18" t="s">
        <v>480</v>
      </c>
      <c r="B44" s="24" t="s">
        <v>285</v>
      </c>
      <c r="C44" s="2" t="s">
        <v>183</v>
      </c>
      <c r="D44" s="2" t="s">
        <v>184</v>
      </c>
      <c r="E44" s="2" t="s">
        <v>929</v>
      </c>
      <c r="F44" s="2" t="s">
        <v>853</v>
      </c>
      <c r="G44" s="2" t="s">
        <v>999</v>
      </c>
      <c r="H44" s="2" t="s">
        <v>1066</v>
      </c>
    </row>
    <row r="45" spans="1:8" ht="232" x14ac:dyDescent="0.35">
      <c r="A45" s="18" t="s">
        <v>480</v>
      </c>
      <c r="B45" s="24" t="s">
        <v>290</v>
      </c>
      <c r="C45" s="2" t="s">
        <v>187</v>
      </c>
      <c r="D45" s="2" t="s">
        <v>188</v>
      </c>
      <c r="E45" s="2" t="s">
        <v>930</v>
      </c>
      <c r="F45" s="2" t="s">
        <v>854</v>
      </c>
      <c r="G45" s="2" t="s">
        <v>1000</v>
      </c>
      <c r="H45" s="2" t="s">
        <v>1067</v>
      </c>
    </row>
    <row r="46" spans="1:8" ht="246.5" x14ac:dyDescent="0.35">
      <c r="A46" s="18" t="s">
        <v>481</v>
      </c>
      <c r="B46" s="24" t="s">
        <v>35</v>
      </c>
      <c r="C46" s="2" t="s">
        <v>18</v>
      </c>
      <c r="D46" s="2" t="s">
        <v>191</v>
      </c>
      <c r="E46" s="2" t="s">
        <v>931</v>
      </c>
      <c r="F46" s="2" t="s">
        <v>849</v>
      </c>
      <c r="G46" s="2" t="s">
        <v>1001</v>
      </c>
      <c r="H46" s="2" t="s">
        <v>1068</v>
      </c>
    </row>
    <row r="47" spans="1:8" ht="174" x14ac:dyDescent="0.35">
      <c r="A47" s="18" t="s">
        <v>481</v>
      </c>
      <c r="B47" s="24" t="s">
        <v>36</v>
      </c>
      <c r="C47" s="2" t="s">
        <v>20</v>
      </c>
      <c r="D47" s="2" t="s">
        <v>194</v>
      </c>
      <c r="E47" s="2" t="s">
        <v>932</v>
      </c>
      <c r="F47" s="2" t="s">
        <v>855</v>
      </c>
      <c r="G47" s="2" t="s">
        <v>996</v>
      </c>
      <c r="H47" s="2" t="s">
        <v>1069</v>
      </c>
    </row>
    <row r="48" spans="1:8" ht="174" x14ac:dyDescent="0.35">
      <c r="A48" s="18" t="s">
        <v>481</v>
      </c>
      <c r="B48" s="24" t="s">
        <v>37</v>
      </c>
      <c r="C48" s="2" t="s">
        <v>22</v>
      </c>
      <c r="D48" s="2" t="s">
        <v>197</v>
      </c>
      <c r="E48" s="2" t="s">
        <v>933</v>
      </c>
      <c r="F48" s="2" t="s">
        <v>856</v>
      </c>
      <c r="G48" s="2" t="s">
        <v>1002</v>
      </c>
      <c r="H48" s="2" t="s">
        <v>1070</v>
      </c>
    </row>
    <row r="49" spans="1:8" ht="145" x14ac:dyDescent="0.35">
      <c r="A49" s="18" t="s">
        <v>481</v>
      </c>
      <c r="B49" s="24" t="s">
        <v>311</v>
      </c>
      <c r="C49" s="2" t="s">
        <v>24</v>
      </c>
      <c r="D49" s="2" t="s">
        <v>200</v>
      </c>
      <c r="E49" s="2" t="s">
        <v>934</v>
      </c>
      <c r="F49" s="2" t="s">
        <v>857</v>
      </c>
      <c r="G49" s="2" t="s">
        <v>1003</v>
      </c>
      <c r="H49" s="2" t="s">
        <v>1071</v>
      </c>
    </row>
    <row r="50" spans="1:8" ht="203" x14ac:dyDescent="0.35">
      <c r="A50" s="18" t="s">
        <v>481</v>
      </c>
      <c r="B50" s="24" t="s">
        <v>316</v>
      </c>
      <c r="C50" s="2" t="s">
        <v>204</v>
      </c>
      <c r="D50" s="2" t="s">
        <v>205</v>
      </c>
      <c r="E50" s="2" t="s">
        <v>935</v>
      </c>
      <c r="F50" s="2" t="s">
        <v>858</v>
      </c>
      <c r="G50" s="2" t="s">
        <v>1004</v>
      </c>
      <c r="H50" s="2" t="s">
        <v>1072</v>
      </c>
    </row>
    <row r="51" spans="1:8" ht="145" x14ac:dyDescent="0.35">
      <c r="A51" s="18" t="s">
        <v>481</v>
      </c>
      <c r="B51" s="24" t="s">
        <v>321</v>
      </c>
      <c r="C51" s="2" t="s">
        <v>208</v>
      </c>
      <c r="D51" s="2" t="s">
        <v>209</v>
      </c>
      <c r="E51" s="2" t="s">
        <v>936</v>
      </c>
      <c r="F51" s="2" t="s">
        <v>859</v>
      </c>
      <c r="G51" s="2" t="s">
        <v>1005</v>
      </c>
      <c r="H51" s="2" t="s">
        <v>1073</v>
      </c>
    </row>
    <row r="52" spans="1:8" ht="188.5" x14ac:dyDescent="0.35">
      <c r="A52" s="18" t="s">
        <v>482</v>
      </c>
      <c r="B52" s="24" t="s">
        <v>38</v>
      </c>
      <c r="C52" s="2" t="s">
        <v>212</v>
      </c>
      <c r="D52" s="2" t="s">
        <v>213</v>
      </c>
      <c r="E52" s="2" t="s">
        <v>937</v>
      </c>
      <c r="F52" s="2" t="s">
        <v>860</v>
      </c>
      <c r="G52" s="2" t="s">
        <v>1006</v>
      </c>
      <c r="H52" s="2" t="s">
        <v>1074</v>
      </c>
    </row>
    <row r="53" spans="1:8" ht="188.5" x14ac:dyDescent="0.35">
      <c r="A53" s="18" t="s">
        <v>482</v>
      </c>
      <c r="B53" s="24" t="s">
        <v>39</v>
      </c>
      <c r="C53" s="2" t="s">
        <v>216</v>
      </c>
      <c r="D53" s="2" t="s">
        <v>217</v>
      </c>
      <c r="E53" s="2" t="s">
        <v>938</v>
      </c>
      <c r="F53" s="2" t="s">
        <v>861</v>
      </c>
      <c r="G53" s="2" t="s">
        <v>1006</v>
      </c>
      <c r="H53" s="2" t="s">
        <v>1075</v>
      </c>
    </row>
    <row r="54" spans="1:8" ht="232" x14ac:dyDescent="0.35">
      <c r="A54" s="18" t="s">
        <v>482</v>
      </c>
      <c r="B54" s="24" t="s">
        <v>40</v>
      </c>
      <c r="C54" s="2" t="s">
        <v>220</v>
      </c>
      <c r="D54" s="2" t="s">
        <v>221</v>
      </c>
      <c r="E54" s="2" t="s">
        <v>937</v>
      </c>
      <c r="F54" s="2" t="s">
        <v>862</v>
      </c>
      <c r="G54" s="2" t="s">
        <v>1007</v>
      </c>
      <c r="H54" s="2" t="s">
        <v>1076</v>
      </c>
    </row>
    <row r="55" spans="1:8" ht="188.5" x14ac:dyDescent="0.35">
      <c r="A55" s="18" t="s">
        <v>482</v>
      </c>
      <c r="B55" s="24" t="s">
        <v>346</v>
      </c>
      <c r="C55" s="2" t="s">
        <v>225</v>
      </c>
      <c r="D55" s="2" t="s">
        <v>226</v>
      </c>
      <c r="E55" s="2" t="s">
        <v>939</v>
      </c>
      <c r="F55" s="2" t="s">
        <v>863</v>
      </c>
      <c r="G55" s="2" t="s">
        <v>1008</v>
      </c>
      <c r="H55" s="2" t="s">
        <v>1077</v>
      </c>
    </row>
    <row r="56" spans="1:8" ht="174" x14ac:dyDescent="0.35">
      <c r="A56" s="18" t="s">
        <v>482</v>
      </c>
      <c r="B56" s="24" t="s">
        <v>351</v>
      </c>
      <c r="C56" s="2" t="s">
        <v>230</v>
      </c>
      <c r="D56" s="2" t="s">
        <v>231</v>
      </c>
      <c r="E56" s="2" t="s">
        <v>940</v>
      </c>
      <c r="F56" s="2" t="s">
        <v>864</v>
      </c>
      <c r="G56" s="2" t="s">
        <v>1009</v>
      </c>
      <c r="H56" s="2" t="s">
        <v>1078</v>
      </c>
    </row>
    <row r="57" spans="1:8" ht="232" x14ac:dyDescent="0.35">
      <c r="A57" s="18" t="s">
        <v>483</v>
      </c>
      <c r="B57" s="24" t="s">
        <v>376</v>
      </c>
      <c r="C57" s="2" t="s">
        <v>234</v>
      </c>
      <c r="D57" s="2" t="s">
        <v>235</v>
      </c>
      <c r="E57" s="2" t="s">
        <v>941</v>
      </c>
      <c r="F57" s="2" t="s">
        <v>866</v>
      </c>
      <c r="G57" s="2" t="s">
        <v>1000</v>
      </c>
      <c r="H57" s="2" t="s">
        <v>1067</v>
      </c>
    </row>
    <row r="58" spans="1:8" ht="217.5" x14ac:dyDescent="0.35">
      <c r="A58" s="18" t="s">
        <v>483</v>
      </c>
      <c r="B58" s="24" t="s">
        <v>381</v>
      </c>
      <c r="C58" s="2" t="s">
        <v>238</v>
      </c>
      <c r="D58" s="2" t="s">
        <v>239</v>
      </c>
      <c r="E58" s="2" t="s">
        <v>942</v>
      </c>
      <c r="F58" s="2" t="s">
        <v>867</v>
      </c>
      <c r="G58" s="2" t="s">
        <v>1010</v>
      </c>
      <c r="H58" s="2" t="s">
        <v>1079</v>
      </c>
    </row>
    <row r="59" spans="1:8" ht="188.5" x14ac:dyDescent="0.35">
      <c r="A59" s="18" t="s">
        <v>483</v>
      </c>
      <c r="B59" s="24" t="s">
        <v>386</v>
      </c>
      <c r="C59" s="2" t="s">
        <v>242</v>
      </c>
      <c r="D59" s="2" t="s">
        <v>243</v>
      </c>
      <c r="E59" s="2" t="s">
        <v>943</v>
      </c>
      <c r="F59" s="2" t="s">
        <v>868</v>
      </c>
      <c r="G59" s="2" t="s">
        <v>999</v>
      </c>
      <c r="H59" s="2" t="s">
        <v>1080</v>
      </c>
    </row>
    <row r="60" spans="1:8" ht="188.5" x14ac:dyDescent="0.35">
      <c r="A60" s="18" t="s">
        <v>483</v>
      </c>
      <c r="B60" s="24" t="s">
        <v>391</v>
      </c>
      <c r="C60" s="2" t="s">
        <v>246</v>
      </c>
      <c r="D60" s="2" t="s">
        <v>247</v>
      </c>
      <c r="E60" s="2" t="s">
        <v>944</v>
      </c>
      <c r="F60" s="2" t="s">
        <v>869</v>
      </c>
      <c r="G60" s="2" t="s">
        <v>1011</v>
      </c>
      <c r="H60" s="2" t="s">
        <v>1081</v>
      </c>
    </row>
    <row r="61" spans="1:8" ht="188.5" x14ac:dyDescent="0.35">
      <c r="A61" s="18" t="s">
        <v>483</v>
      </c>
      <c r="B61" s="24" t="s">
        <v>396</v>
      </c>
      <c r="C61" s="2" t="s">
        <v>251</v>
      </c>
      <c r="D61" s="2" t="s">
        <v>252</v>
      </c>
      <c r="E61" s="2" t="s">
        <v>945</v>
      </c>
      <c r="F61" s="2" t="s">
        <v>865</v>
      </c>
      <c r="G61" s="2" t="s">
        <v>1012</v>
      </c>
      <c r="H61" s="2" t="s">
        <v>1082</v>
      </c>
    </row>
    <row r="62" spans="1:8" ht="174" x14ac:dyDescent="0.35">
      <c r="A62" s="18" t="s">
        <v>483</v>
      </c>
      <c r="B62" s="24" t="s">
        <v>492</v>
      </c>
      <c r="C62" s="2" t="s">
        <v>256</v>
      </c>
      <c r="D62" s="2" t="s">
        <v>257</v>
      </c>
      <c r="E62" s="2" t="s">
        <v>946</v>
      </c>
      <c r="F62" s="2" t="s">
        <v>870</v>
      </c>
      <c r="G62" s="2" t="s">
        <v>1013</v>
      </c>
      <c r="H62" s="2" t="s">
        <v>1083</v>
      </c>
    </row>
    <row r="63" spans="1:8" ht="188.5" x14ac:dyDescent="0.35">
      <c r="A63" s="18" t="s">
        <v>483</v>
      </c>
      <c r="B63" s="24" t="s">
        <v>493</v>
      </c>
      <c r="C63" s="2" t="s">
        <v>260</v>
      </c>
      <c r="D63" s="2" t="s">
        <v>261</v>
      </c>
      <c r="E63" s="2" t="s">
        <v>947</v>
      </c>
      <c r="F63" s="2" t="s">
        <v>851</v>
      </c>
      <c r="G63" s="2" t="s">
        <v>1014</v>
      </c>
      <c r="H63" s="2" t="s">
        <v>1084</v>
      </c>
    </row>
    <row r="64" spans="1:8" ht="203" x14ac:dyDescent="0.35">
      <c r="A64" s="18" t="s">
        <v>483</v>
      </c>
      <c r="B64" s="24" t="s">
        <v>494</v>
      </c>
      <c r="C64" s="2" t="s">
        <v>264</v>
      </c>
      <c r="D64" s="2" t="s">
        <v>265</v>
      </c>
      <c r="E64" s="2" t="s">
        <v>948</v>
      </c>
      <c r="F64" s="2" t="s">
        <v>871</v>
      </c>
      <c r="G64" s="2" t="s">
        <v>1015</v>
      </c>
      <c r="H64" s="2" t="s">
        <v>1085</v>
      </c>
    </row>
    <row r="65" spans="1:8" ht="203" x14ac:dyDescent="0.35">
      <c r="A65" s="18" t="s">
        <v>484</v>
      </c>
      <c r="B65" s="24" t="s">
        <v>401</v>
      </c>
      <c r="C65" s="2" t="s">
        <v>268</v>
      </c>
      <c r="D65" s="2" t="s">
        <v>269</v>
      </c>
      <c r="E65" s="2" t="s">
        <v>949</v>
      </c>
      <c r="F65" s="2" t="s">
        <v>872</v>
      </c>
      <c r="G65" s="2" t="s">
        <v>1016</v>
      </c>
      <c r="H65" s="2" t="s">
        <v>1086</v>
      </c>
    </row>
    <row r="66" spans="1:8" ht="174" x14ac:dyDescent="0.35">
      <c r="A66" s="18" t="s">
        <v>484</v>
      </c>
      <c r="B66" s="24" t="s">
        <v>406</v>
      </c>
      <c r="C66" s="2" t="s">
        <v>272</v>
      </c>
      <c r="D66" s="2" t="s">
        <v>273</v>
      </c>
      <c r="E66" s="2" t="s">
        <v>950</v>
      </c>
      <c r="F66" s="2" t="s">
        <v>873</v>
      </c>
      <c r="G66" s="2" t="s">
        <v>996</v>
      </c>
      <c r="H66" s="2" t="s">
        <v>1087</v>
      </c>
    </row>
    <row r="67" spans="1:8" ht="174" x14ac:dyDescent="0.35">
      <c r="A67" s="18" t="s">
        <v>484</v>
      </c>
      <c r="B67" s="24" t="s">
        <v>411</v>
      </c>
      <c r="C67" s="2" t="s">
        <v>276</v>
      </c>
      <c r="D67" s="2" t="s">
        <v>277</v>
      </c>
      <c r="E67" s="2" t="s">
        <v>951</v>
      </c>
      <c r="F67" s="2" t="s">
        <v>874</v>
      </c>
      <c r="G67" s="2" t="s">
        <v>1017</v>
      </c>
      <c r="H67" s="2" t="s">
        <v>1088</v>
      </c>
    </row>
    <row r="68" spans="1:8" ht="217.5" x14ac:dyDescent="0.35">
      <c r="A68" s="18" t="s">
        <v>484</v>
      </c>
      <c r="B68" s="24" t="s">
        <v>416</v>
      </c>
      <c r="C68" s="2" t="s">
        <v>281</v>
      </c>
      <c r="D68" s="2" t="s">
        <v>282</v>
      </c>
      <c r="E68" s="2" t="s">
        <v>950</v>
      </c>
      <c r="F68" s="2" t="s">
        <v>875</v>
      </c>
      <c r="G68" s="2" t="s">
        <v>1018</v>
      </c>
      <c r="H68" s="2" t="s">
        <v>1089</v>
      </c>
    </row>
    <row r="69" spans="1:8" ht="203" x14ac:dyDescent="0.35">
      <c r="A69" s="18" t="s">
        <v>484</v>
      </c>
      <c r="B69" s="24" t="s">
        <v>421</v>
      </c>
      <c r="C69" s="2" t="s">
        <v>286</v>
      </c>
      <c r="D69" s="2" t="s">
        <v>287</v>
      </c>
      <c r="E69" s="2" t="s">
        <v>952</v>
      </c>
      <c r="F69" s="2" t="s">
        <v>876</v>
      </c>
      <c r="G69" s="2" t="s">
        <v>1019</v>
      </c>
      <c r="H69" s="2" t="s">
        <v>1090</v>
      </c>
    </row>
    <row r="70" spans="1:8" ht="174" x14ac:dyDescent="0.35">
      <c r="A70" s="18" t="s">
        <v>484</v>
      </c>
      <c r="B70" s="24" t="s">
        <v>426</v>
      </c>
      <c r="C70" s="2" t="s">
        <v>291</v>
      </c>
      <c r="D70" s="2" t="s">
        <v>292</v>
      </c>
      <c r="E70" s="2" t="s">
        <v>953</v>
      </c>
      <c r="F70" s="2" t="s">
        <v>877</v>
      </c>
      <c r="G70" s="2" t="s">
        <v>1017</v>
      </c>
      <c r="H70" s="2" t="s">
        <v>1091</v>
      </c>
    </row>
    <row r="71" spans="1:8" ht="159.5" x14ac:dyDescent="0.35">
      <c r="A71" s="18" t="s">
        <v>484</v>
      </c>
      <c r="B71" s="24" t="s">
        <v>495</v>
      </c>
      <c r="C71" s="2" t="s">
        <v>295</v>
      </c>
      <c r="D71" s="2" t="s">
        <v>296</v>
      </c>
      <c r="E71" s="2" t="s">
        <v>954</v>
      </c>
      <c r="F71" s="2" t="s">
        <v>878</v>
      </c>
      <c r="G71" s="2" t="s">
        <v>1020</v>
      </c>
      <c r="H71" s="2" t="s">
        <v>1092</v>
      </c>
    </row>
    <row r="72" spans="1:8" ht="232" x14ac:dyDescent="0.35">
      <c r="A72" s="24" t="s">
        <v>488</v>
      </c>
      <c r="B72" s="24" t="s">
        <v>496</v>
      </c>
      <c r="C72" s="2" t="s">
        <v>299</v>
      </c>
      <c r="D72" s="2" t="s">
        <v>300</v>
      </c>
      <c r="E72" s="2" t="s">
        <v>955</v>
      </c>
      <c r="F72" s="2" t="s">
        <v>879</v>
      </c>
      <c r="G72" s="2" t="s">
        <v>1021</v>
      </c>
      <c r="H72" s="2" t="s">
        <v>1093</v>
      </c>
    </row>
    <row r="73" spans="1:8" ht="145" x14ac:dyDescent="0.35">
      <c r="A73" s="24" t="s">
        <v>488</v>
      </c>
      <c r="B73" s="24" t="s">
        <v>497</v>
      </c>
      <c r="C73" s="2" t="s">
        <v>303</v>
      </c>
      <c r="D73" s="2" t="s">
        <v>304</v>
      </c>
      <c r="E73" s="2" t="s">
        <v>956</v>
      </c>
      <c r="F73" s="2" t="s">
        <v>880</v>
      </c>
      <c r="G73" s="2" t="s">
        <v>1022</v>
      </c>
      <c r="H73" s="2" t="s">
        <v>1094</v>
      </c>
    </row>
    <row r="74" spans="1:8" ht="159.5" x14ac:dyDescent="0.35">
      <c r="A74" s="24" t="s">
        <v>488</v>
      </c>
      <c r="B74" s="24" t="s">
        <v>498</v>
      </c>
      <c r="C74" s="2" t="s">
        <v>307</v>
      </c>
      <c r="D74" s="2" t="s">
        <v>308</v>
      </c>
      <c r="E74" s="2" t="s">
        <v>913</v>
      </c>
      <c r="F74" s="2" t="s">
        <v>881</v>
      </c>
      <c r="G74" s="2" t="s">
        <v>1023</v>
      </c>
      <c r="H74" s="2" t="s">
        <v>1095</v>
      </c>
    </row>
    <row r="75" spans="1:8" ht="174" x14ac:dyDescent="0.35">
      <c r="A75" s="24" t="s">
        <v>488</v>
      </c>
      <c r="B75" s="24" t="s">
        <v>499</v>
      </c>
      <c r="C75" s="2" t="s">
        <v>312</v>
      </c>
      <c r="D75" s="2" t="s">
        <v>313</v>
      </c>
      <c r="E75" s="2" t="s">
        <v>957</v>
      </c>
      <c r="F75" s="2" t="s">
        <v>882</v>
      </c>
      <c r="G75" s="2" t="s">
        <v>1024</v>
      </c>
      <c r="H75" s="2" t="s">
        <v>1096</v>
      </c>
    </row>
    <row r="76" spans="1:8" ht="145" x14ac:dyDescent="0.35">
      <c r="A76" s="24" t="s">
        <v>488</v>
      </c>
      <c r="B76" s="24" t="s">
        <v>500</v>
      </c>
      <c r="C76" s="2" t="s">
        <v>317</v>
      </c>
      <c r="D76" s="2" t="s">
        <v>318</v>
      </c>
      <c r="E76" s="2" t="s">
        <v>958</v>
      </c>
      <c r="F76" s="2" t="s">
        <v>883</v>
      </c>
      <c r="G76" s="2" t="s">
        <v>1025</v>
      </c>
      <c r="H76" s="2" t="s">
        <v>1097</v>
      </c>
    </row>
    <row r="77" spans="1:8" ht="101.5" x14ac:dyDescent="0.35">
      <c r="A77" s="24" t="s">
        <v>488</v>
      </c>
      <c r="B77" s="24" t="s">
        <v>501</v>
      </c>
      <c r="C77" s="2" t="s">
        <v>322</v>
      </c>
      <c r="D77" s="2" t="s">
        <v>323</v>
      </c>
      <c r="E77" s="2" t="s">
        <v>959</v>
      </c>
      <c r="F77" s="2" t="s">
        <v>884</v>
      </c>
      <c r="G77" s="2" t="s">
        <v>1026</v>
      </c>
      <c r="H77" s="2" t="s">
        <v>1098</v>
      </c>
    </row>
    <row r="78" spans="1:8" ht="130.5" x14ac:dyDescent="0.35">
      <c r="A78" s="24" t="s">
        <v>488</v>
      </c>
      <c r="B78" s="24" t="s">
        <v>502</v>
      </c>
      <c r="C78" s="2" t="s">
        <v>326</v>
      </c>
      <c r="D78" s="2" t="s">
        <v>327</v>
      </c>
      <c r="E78" s="2" t="s">
        <v>960</v>
      </c>
      <c r="F78" s="2" t="s">
        <v>885</v>
      </c>
      <c r="G78" s="2" t="s">
        <v>1027</v>
      </c>
      <c r="H78" s="2" t="s">
        <v>1099</v>
      </c>
    </row>
    <row r="79" spans="1:8" ht="87" x14ac:dyDescent="0.35">
      <c r="A79" s="24" t="s">
        <v>488</v>
      </c>
      <c r="B79" s="24" t="s">
        <v>503</v>
      </c>
      <c r="C79" s="2" t="s">
        <v>330</v>
      </c>
      <c r="D79" s="2" t="s">
        <v>331</v>
      </c>
      <c r="E79" s="2" t="s">
        <v>961</v>
      </c>
      <c r="F79" s="2" t="s">
        <v>886</v>
      </c>
      <c r="G79" s="2" t="s">
        <v>1028</v>
      </c>
      <c r="H79" s="2" t="s">
        <v>1100</v>
      </c>
    </row>
    <row r="80" spans="1:8" ht="232" x14ac:dyDescent="0.35">
      <c r="A80" s="24" t="s">
        <v>489</v>
      </c>
      <c r="B80" s="24" t="s">
        <v>504</v>
      </c>
      <c r="C80" s="2" t="s">
        <v>334</v>
      </c>
      <c r="D80" s="2" t="s">
        <v>335</v>
      </c>
      <c r="E80" s="2" t="s">
        <v>919</v>
      </c>
      <c r="F80" s="2" t="s">
        <v>887</v>
      </c>
      <c r="G80" s="2" t="s">
        <v>1021</v>
      </c>
      <c r="H80" s="2" t="s">
        <v>1101</v>
      </c>
    </row>
    <row r="81" spans="1:8" ht="145" x14ac:dyDescent="0.35">
      <c r="A81" s="24" t="s">
        <v>489</v>
      </c>
      <c r="B81" s="24" t="s">
        <v>505</v>
      </c>
      <c r="C81" s="2" t="s">
        <v>338</v>
      </c>
      <c r="D81" s="2" t="s">
        <v>339</v>
      </c>
      <c r="E81" s="2" t="s">
        <v>962</v>
      </c>
      <c r="F81" s="2" t="s">
        <v>888</v>
      </c>
      <c r="G81" s="2" t="s">
        <v>1029</v>
      </c>
      <c r="H81" s="2" t="s">
        <v>1102</v>
      </c>
    </row>
    <row r="82" spans="1:8" ht="188.5" x14ac:dyDescent="0.35">
      <c r="A82" s="24" t="s">
        <v>489</v>
      </c>
      <c r="B82" s="24" t="s">
        <v>506</v>
      </c>
      <c r="C82" s="2" t="s">
        <v>342</v>
      </c>
      <c r="D82" s="2" t="s">
        <v>343</v>
      </c>
      <c r="E82" s="2" t="s">
        <v>963</v>
      </c>
      <c r="F82" s="2" t="s">
        <v>889</v>
      </c>
      <c r="G82" s="2" t="s">
        <v>1030</v>
      </c>
      <c r="H82" s="2" t="s">
        <v>1103</v>
      </c>
    </row>
    <row r="83" spans="1:8" ht="145" x14ac:dyDescent="0.35">
      <c r="A83" s="24" t="s">
        <v>489</v>
      </c>
      <c r="B83" s="24" t="s">
        <v>507</v>
      </c>
      <c r="C83" s="2" t="s">
        <v>347</v>
      </c>
      <c r="D83" s="2" t="s">
        <v>348</v>
      </c>
      <c r="E83" s="2" t="s">
        <v>927</v>
      </c>
      <c r="F83" s="2" t="s">
        <v>890</v>
      </c>
      <c r="G83" s="2" t="s">
        <v>1031</v>
      </c>
      <c r="H83" s="2" t="s">
        <v>1064</v>
      </c>
    </row>
    <row r="84" spans="1:8" ht="101.5" x14ac:dyDescent="0.35">
      <c r="A84" s="24" t="s">
        <v>489</v>
      </c>
      <c r="B84" s="24" t="s">
        <v>508</v>
      </c>
      <c r="C84" s="2" t="s">
        <v>352</v>
      </c>
      <c r="D84" s="2" t="s">
        <v>353</v>
      </c>
      <c r="E84" s="2" t="s">
        <v>964</v>
      </c>
      <c r="F84" s="2" t="s">
        <v>891</v>
      </c>
      <c r="G84" s="2" t="s">
        <v>1032</v>
      </c>
      <c r="H84" s="2" t="s">
        <v>1104</v>
      </c>
    </row>
    <row r="85" spans="1:8" ht="72.5" x14ac:dyDescent="0.35">
      <c r="A85" s="24" t="s">
        <v>489</v>
      </c>
      <c r="B85" s="24" t="s">
        <v>509</v>
      </c>
      <c r="C85" s="2" t="s">
        <v>356</v>
      </c>
      <c r="D85" s="2" t="s">
        <v>357</v>
      </c>
      <c r="E85" s="2" t="s">
        <v>965</v>
      </c>
      <c r="F85" s="2" t="s">
        <v>892</v>
      </c>
      <c r="G85" s="2" t="s">
        <v>977</v>
      </c>
      <c r="H85" s="2" t="s">
        <v>1105</v>
      </c>
    </row>
    <row r="86" spans="1:8" ht="145" x14ac:dyDescent="0.35">
      <c r="A86" s="24" t="s">
        <v>489</v>
      </c>
      <c r="B86" s="24" t="s">
        <v>510</v>
      </c>
      <c r="C86" s="2" t="s">
        <v>360</v>
      </c>
      <c r="D86" s="2" t="s">
        <v>361</v>
      </c>
      <c r="E86" s="2" t="s">
        <v>966</v>
      </c>
      <c r="F86" s="2" t="s">
        <v>893</v>
      </c>
      <c r="G86" s="2" t="s">
        <v>1033</v>
      </c>
      <c r="H86" s="2" t="s">
        <v>1106</v>
      </c>
    </row>
    <row r="87" spans="1:8" ht="159.5" x14ac:dyDescent="0.35">
      <c r="A87" s="24" t="s">
        <v>489</v>
      </c>
      <c r="B87" s="24" t="s">
        <v>511</v>
      </c>
      <c r="C87" s="2" t="s">
        <v>364</v>
      </c>
      <c r="D87" s="2" t="s">
        <v>365</v>
      </c>
      <c r="E87" s="2" t="s">
        <v>950</v>
      </c>
      <c r="F87" s="2" t="s">
        <v>894</v>
      </c>
      <c r="G87" s="2" t="s">
        <v>1034</v>
      </c>
      <c r="H87" s="2" t="s">
        <v>1107</v>
      </c>
    </row>
    <row r="88" spans="1:8" ht="87" x14ac:dyDescent="0.35">
      <c r="A88" s="24" t="s">
        <v>489</v>
      </c>
      <c r="B88" s="24" t="s">
        <v>512</v>
      </c>
      <c r="C88" s="2" t="s">
        <v>368</v>
      </c>
      <c r="D88" s="2" t="s">
        <v>369</v>
      </c>
      <c r="E88" s="2" t="s">
        <v>967</v>
      </c>
      <c r="F88" s="2" t="s">
        <v>895</v>
      </c>
      <c r="G88" s="2" t="s">
        <v>977</v>
      </c>
      <c r="H88" s="2" t="s">
        <v>1108</v>
      </c>
    </row>
    <row r="89" spans="1:8" ht="188.5" x14ac:dyDescent="0.35">
      <c r="A89" s="24" t="s">
        <v>489</v>
      </c>
      <c r="B89" s="24" t="s">
        <v>513</v>
      </c>
      <c r="C89" s="2" t="s">
        <v>372</v>
      </c>
      <c r="D89" s="2" t="s">
        <v>373</v>
      </c>
      <c r="E89" s="2" t="s">
        <v>968</v>
      </c>
      <c r="F89" s="2" t="s">
        <v>896</v>
      </c>
      <c r="G89" s="2" t="s">
        <v>1035</v>
      </c>
      <c r="H89" s="2" t="s">
        <v>1109</v>
      </c>
    </row>
    <row r="90" spans="1:8" ht="130.5" x14ac:dyDescent="0.35">
      <c r="A90" s="24" t="s">
        <v>490</v>
      </c>
      <c r="B90" s="24" t="s">
        <v>514</v>
      </c>
      <c r="C90" s="2" t="s">
        <v>377</v>
      </c>
      <c r="D90" s="2" t="s">
        <v>378</v>
      </c>
      <c r="E90" s="2" t="s">
        <v>969</v>
      </c>
      <c r="F90" s="2" t="s">
        <v>897</v>
      </c>
      <c r="G90" s="2" t="s">
        <v>1036</v>
      </c>
      <c r="H90" s="2" t="s">
        <v>1110</v>
      </c>
    </row>
    <row r="91" spans="1:8" ht="130.5" x14ac:dyDescent="0.35">
      <c r="A91" s="24" t="s">
        <v>490</v>
      </c>
      <c r="B91" s="24" t="s">
        <v>515</v>
      </c>
      <c r="C91" s="2" t="s">
        <v>382</v>
      </c>
      <c r="D91" s="2" t="s">
        <v>383</v>
      </c>
      <c r="E91" s="2" t="s">
        <v>970</v>
      </c>
      <c r="F91" s="2" t="s">
        <v>898</v>
      </c>
      <c r="G91" s="2" t="s">
        <v>1037</v>
      </c>
      <c r="H91" s="2" t="s">
        <v>1111</v>
      </c>
    </row>
    <row r="92" spans="1:8" ht="116" x14ac:dyDescent="0.35">
      <c r="A92" s="24" t="s">
        <v>490</v>
      </c>
      <c r="B92" s="24" t="s">
        <v>516</v>
      </c>
      <c r="C92" s="2" t="s">
        <v>387</v>
      </c>
      <c r="D92" s="2" t="s">
        <v>388</v>
      </c>
      <c r="E92" s="2" t="s">
        <v>971</v>
      </c>
      <c r="F92" s="2" t="s">
        <v>899</v>
      </c>
      <c r="G92" s="2" t="s">
        <v>1038</v>
      </c>
      <c r="H92" s="2" t="s">
        <v>1112</v>
      </c>
    </row>
    <row r="93" spans="1:8" ht="145" x14ac:dyDescent="0.35">
      <c r="A93" s="24" t="s">
        <v>490</v>
      </c>
      <c r="B93" s="24" t="s">
        <v>517</v>
      </c>
      <c r="C93" s="2" t="s">
        <v>392</v>
      </c>
      <c r="D93" s="2" t="s">
        <v>393</v>
      </c>
      <c r="E93" s="2" t="s">
        <v>969</v>
      </c>
      <c r="F93" s="2" t="s">
        <v>900</v>
      </c>
      <c r="G93" s="2" t="s">
        <v>1039</v>
      </c>
      <c r="H93" s="2" t="s">
        <v>1113</v>
      </c>
    </row>
    <row r="94" spans="1:8" ht="130.5" x14ac:dyDescent="0.35">
      <c r="A94" s="24" t="s">
        <v>490</v>
      </c>
      <c r="B94" s="24" t="s">
        <v>518</v>
      </c>
      <c r="C94" s="2" t="s">
        <v>397</v>
      </c>
      <c r="D94" s="2" t="s">
        <v>398</v>
      </c>
      <c r="E94" s="2" t="s">
        <v>908</v>
      </c>
      <c r="F94" s="2" t="s">
        <v>901</v>
      </c>
      <c r="G94" s="2" t="s">
        <v>1040</v>
      </c>
      <c r="H94" s="2" t="s">
        <v>1114</v>
      </c>
    </row>
    <row r="95" spans="1:8" ht="116" x14ac:dyDescent="0.35">
      <c r="A95" s="24" t="s">
        <v>491</v>
      </c>
      <c r="B95" s="24" t="s">
        <v>519</v>
      </c>
      <c r="C95" s="2" t="s">
        <v>402</v>
      </c>
      <c r="D95" s="2" t="s">
        <v>403</v>
      </c>
      <c r="E95" s="2" t="s">
        <v>972</v>
      </c>
      <c r="F95" s="2" t="s">
        <v>902</v>
      </c>
      <c r="G95" s="2" t="s">
        <v>1041</v>
      </c>
      <c r="H95" s="2" t="s">
        <v>1115</v>
      </c>
    </row>
    <row r="96" spans="1:8" ht="87" x14ac:dyDescent="0.35">
      <c r="A96" s="24" t="s">
        <v>491</v>
      </c>
      <c r="B96" s="24" t="s">
        <v>520</v>
      </c>
      <c r="C96" s="2" t="s">
        <v>407</v>
      </c>
      <c r="D96" s="2" t="s">
        <v>408</v>
      </c>
      <c r="E96" s="2" t="s">
        <v>973</v>
      </c>
      <c r="F96" s="2" t="s">
        <v>903</v>
      </c>
      <c r="G96" s="2" t="s">
        <v>1042</v>
      </c>
      <c r="H96" s="2" t="s">
        <v>1116</v>
      </c>
    </row>
    <row r="97" spans="1:8" ht="58" x14ac:dyDescent="0.35">
      <c r="A97" s="24" t="s">
        <v>491</v>
      </c>
      <c r="B97" s="24" t="s">
        <v>521</v>
      </c>
      <c r="C97" s="2" t="s">
        <v>412</v>
      </c>
      <c r="D97" s="2" t="s">
        <v>413</v>
      </c>
      <c r="E97" s="2" t="s">
        <v>953</v>
      </c>
      <c r="F97" s="2" t="s">
        <v>904</v>
      </c>
      <c r="G97" s="2" t="s">
        <v>978</v>
      </c>
      <c r="H97" s="2" t="s">
        <v>1117</v>
      </c>
    </row>
    <row r="98" spans="1:8" ht="101.5" x14ac:dyDescent="0.35">
      <c r="A98" s="24" t="s">
        <v>491</v>
      </c>
      <c r="B98" s="24" t="s">
        <v>522</v>
      </c>
      <c r="C98" s="2" t="s">
        <v>417</v>
      </c>
      <c r="D98" s="2" t="s">
        <v>418</v>
      </c>
      <c r="E98" s="2" t="s">
        <v>974</v>
      </c>
      <c r="F98" s="2" t="s">
        <v>905</v>
      </c>
      <c r="G98" s="2" t="s">
        <v>1043</v>
      </c>
      <c r="H98" s="2" t="s">
        <v>1118</v>
      </c>
    </row>
    <row r="99" spans="1:8" ht="87" x14ac:dyDescent="0.35">
      <c r="A99" s="24" t="s">
        <v>491</v>
      </c>
      <c r="B99" s="24" t="s">
        <v>523</v>
      </c>
      <c r="C99" s="2" t="s">
        <v>422</v>
      </c>
      <c r="D99" s="2" t="s">
        <v>423</v>
      </c>
      <c r="E99" s="2" t="s">
        <v>975</v>
      </c>
      <c r="F99" s="2" t="s">
        <v>906</v>
      </c>
      <c r="G99" s="2" t="s">
        <v>1044</v>
      </c>
      <c r="H99" s="2" t="s">
        <v>1119</v>
      </c>
    </row>
    <row r="100" spans="1:8" ht="72.5" x14ac:dyDescent="0.35">
      <c r="A100" s="24" t="s">
        <v>491</v>
      </c>
      <c r="B100" s="24" t="s">
        <v>524</v>
      </c>
      <c r="C100" s="2" t="s">
        <v>427</v>
      </c>
      <c r="D100" s="2" t="s">
        <v>428</v>
      </c>
      <c r="E100" s="2" t="s">
        <v>976</v>
      </c>
      <c r="F100" s="2" t="s">
        <v>907</v>
      </c>
      <c r="G100" s="2" t="s">
        <v>1045</v>
      </c>
      <c r="H100" s="2" t="s">
        <v>1120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CB8C7-2652-41B5-9D1D-CB0D3154648A}">
  <dimension ref="A1:B42"/>
  <sheetViews>
    <sheetView topLeftCell="A10" workbookViewId="0">
      <selection activeCell="C46" sqref="C46:C47"/>
    </sheetView>
  </sheetViews>
  <sheetFormatPr defaultColWidth="51" defaultRowHeight="14.5" x14ac:dyDescent="0.35"/>
  <cols>
    <col min="2" max="2" width="58.08984375" customWidth="1"/>
  </cols>
  <sheetData>
    <row r="1" spans="1:2" x14ac:dyDescent="0.35">
      <c r="A1" s="1" t="s">
        <v>626</v>
      </c>
      <c r="B1" s="1" t="s">
        <v>454</v>
      </c>
    </row>
    <row r="2" spans="1:2" x14ac:dyDescent="0.35">
      <c r="A2" s="3" t="s">
        <v>627</v>
      </c>
      <c r="B2" s="2" t="s">
        <v>628</v>
      </c>
    </row>
    <row r="3" spans="1:2" x14ac:dyDescent="0.35">
      <c r="A3" s="3" t="s">
        <v>629</v>
      </c>
      <c r="B3" s="2" t="s">
        <v>630</v>
      </c>
    </row>
    <row r="4" spans="1:2" x14ac:dyDescent="0.35">
      <c r="A4" s="3" t="s">
        <v>631</v>
      </c>
      <c r="B4" s="2" t="s">
        <v>632</v>
      </c>
    </row>
    <row r="5" spans="1:2" x14ac:dyDescent="0.35">
      <c r="A5" s="3" t="s">
        <v>633</v>
      </c>
      <c r="B5" s="2" t="s">
        <v>634</v>
      </c>
    </row>
    <row r="6" spans="1:2" x14ac:dyDescent="0.35">
      <c r="A6" s="3" t="s">
        <v>635</v>
      </c>
      <c r="B6" s="2" t="s">
        <v>636</v>
      </c>
    </row>
    <row r="7" spans="1:2" x14ac:dyDescent="0.35">
      <c r="A7" s="3" t="s">
        <v>637</v>
      </c>
      <c r="B7" s="2" t="s">
        <v>638</v>
      </c>
    </row>
    <row r="8" spans="1:2" x14ac:dyDescent="0.35">
      <c r="A8" s="3" t="s">
        <v>639</v>
      </c>
      <c r="B8" s="2" t="s">
        <v>640</v>
      </c>
    </row>
    <row r="9" spans="1:2" x14ac:dyDescent="0.35">
      <c r="A9" s="3" t="s">
        <v>641</v>
      </c>
      <c r="B9" s="2" t="s">
        <v>642</v>
      </c>
    </row>
    <row r="10" spans="1:2" x14ac:dyDescent="0.35">
      <c r="A10" s="3" t="s">
        <v>643</v>
      </c>
      <c r="B10" s="2" t="s">
        <v>644</v>
      </c>
    </row>
    <row r="11" spans="1:2" x14ac:dyDescent="0.35">
      <c r="A11" s="3" t="s">
        <v>645</v>
      </c>
      <c r="B11" s="2" t="s">
        <v>646</v>
      </c>
    </row>
    <row r="12" spans="1:2" x14ac:dyDescent="0.35">
      <c r="A12" s="3" t="s">
        <v>647</v>
      </c>
      <c r="B12" s="2" t="s">
        <v>648</v>
      </c>
    </row>
    <row r="13" spans="1:2" x14ac:dyDescent="0.35">
      <c r="A13" s="3" t="s">
        <v>649</v>
      </c>
      <c r="B13" s="2" t="s">
        <v>650</v>
      </c>
    </row>
    <row r="14" spans="1:2" x14ac:dyDescent="0.35">
      <c r="A14" s="3" t="s">
        <v>651</v>
      </c>
      <c r="B14" s="2" t="s">
        <v>652</v>
      </c>
    </row>
    <row r="15" spans="1:2" x14ac:dyDescent="0.35">
      <c r="A15" s="3" t="s">
        <v>653</v>
      </c>
      <c r="B15" s="2" t="s">
        <v>654</v>
      </c>
    </row>
    <row r="16" spans="1:2" x14ac:dyDescent="0.35">
      <c r="A16" s="3" t="s">
        <v>655</v>
      </c>
      <c r="B16" s="2" t="s">
        <v>656</v>
      </c>
    </row>
    <row r="17" spans="1:2" x14ac:dyDescent="0.35">
      <c r="A17" s="3" t="s">
        <v>657</v>
      </c>
      <c r="B17" s="2" t="s">
        <v>658</v>
      </c>
    </row>
    <row r="18" spans="1:2" x14ac:dyDescent="0.35">
      <c r="A18" s="3" t="s">
        <v>659</v>
      </c>
      <c r="B18" s="2" t="s">
        <v>660</v>
      </c>
    </row>
    <row r="19" spans="1:2" x14ac:dyDescent="0.35">
      <c r="A19" s="3" t="s">
        <v>661</v>
      </c>
      <c r="B19" s="2" t="s">
        <v>662</v>
      </c>
    </row>
    <row r="20" spans="1:2" x14ac:dyDescent="0.35">
      <c r="A20" s="3" t="s">
        <v>663</v>
      </c>
      <c r="B20" s="2" t="s">
        <v>664</v>
      </c>
    </row>
    <row r="21" spans="1:2" x14ac:dyDescent="0.35">
      <c r="A21" s="3" t="s">
        <v>665</v>
      </c>
      <c r="B21" s="2" t="s">
        <v>666</v>
      </c>
    </row>
    <row r="22" spans="1:2" x14ac:dyDescent="0.35">
      <c r="A22" s="3" t="s">
        <v>667</v>
      </c>
      <c r="B22" s="2" t="s">
        <v>668</v>
      </c>
    </row>
    <row r="23" spans="1:2" x14ac:dyDescent="0.35">
      <c r="A23" s="3" t="s">
        <v>669</v>
      </c>
      <c r="B23" s="2" t="s">
        <v>670</v>
      </c>
    </row>
    <row r="24" spans="1:2" x14ac:dyDescent="0.35">
      <c r="A24" s="3" t="s">
        <v>671</v>
      </c>
      <c r="B24" s="2" t="s">
        <v>672</v>
      </c>
    </row>
    <row r="25" spans="1:2" x14ac:dyDescent="0.35">
      <c r="A25" s="3" t="s">
        <v>673</v>
      </c>
      <c r="B25" s="2" t="s">
        <v>674</v>
      </c>
    </row>
    <row r="26" spans="1:2" x14ac:dyDescent="0.35">
      <c r="A26" s="3" t="s">
        <v>675</v>
      </c>
      <c r="B26" s="2" t="s">
        <v>676</v>
      </c>
    </row>
    <row r="27" spans="1:2" x14ac:dyDescent="0.35">
      <c r="A27" s="3" t="s">
        <v>677</v>
      </c>
      <c r="B27" s="2" t="s">
        <v>678</v>
      </c>
    </row>
    <row r="28" spans="1:2" x14ac:dyDescent="0.35">
      <c r="A28" s="3" t="s">
        <v>679</v>
      </c>
      <c r="B28" s="2" t="s">
        <v>680</v>
      </c>
    </row>
    <row r="29" spans="1:2" x14ac:dyDescent="0.35">
      <c r="A29" s="3" t="s">
        <v>681</v>
      </c>
      <c r="B29" s="2" t="s">
        <v>682</v>
      </c>
    </row>
    <row r="30" spans="1:2" ht="18" customHeight="1" x14ac:dyDescent="0.35">
      <c r="A30" s="3" t="s">
        <v>683</v>
      </c>
      <c r="B30" s="2" t="s">
        <v>684</v>
      </c>
    </row>
    <row r="31" spans="1:2" x14ac:dyDescent="0.35">
      <c r="A31" s="3" t="s">
        <v>685</v>
      </c>
      <c r="B31" s="2" t="s">
        <v>686</v>
      </c>
    </row>
    <row r="32" spans="1:2" x14ac:dyDescent="0.35">
      <c r="A32" s="3" t="s">
        <v>687</v>
      </c>
      <c r="B32" s="2" t="s">
        <v>688</v>
      </c>
    </row>
    <row r="33" spans="1:2" x14ac:dyDescent="0.35">
      <c r="A33" s="3" t="s">
        <v>689</v>
      </c>
      <c r="B33" s="2" t="s">
        <v>690</v>
      </c>
    </row>
    <row r="34" spans="1:2" x14ac:dyDescent="0.35">
      <c r="A34" s="3" t="s">
        <v>691</v>
      </c>
      <c r="B34" s="2" t="s">
        <v>692</v>
      </c>
    </row>
    <row r="35" spans="1:2" x14ac:dyDescent="0.35">
      <c r="A35" s="3" t="s">
        <v>693</v>
      </c>
      <c r="B35" s="2" t="s">
        <v>694</v>
      </c>
    </row>
    <row r="36" spans="1:2" x14ac:dyDescent="0.35">
      <c r="A36" s="3" t="s">
        <v>695</v>
      </c>
      <c r="B36" s="2" t="s">
        <v>696</v>
      </c>
    </row>
    <row r="37" spans="1:2" x14ac:dyDescent="0.35">
      <c r="A37" s="3" t="s">
        <v>697</v>
      </c>
      <c r="B37" s="2" t="s">
        <v>698</v>
      </c>
    </row>
    <row r="38" spans="1:2" x14ac:dyDescent="0.35">
      <c r="A38" s="3" t="s">
        <v>699</v>
      </c>
      <c r="B38" s="2" t="s">
        <v>700</v>
      </c>
    </row>
    <row r="39" spans="1:2" x14ac:dyDescent="0.35">
      <c r="A39" s="3" t="s">
        <v>701</v>
      </c>
      <c r="B39" s="2" t="s">
        <v>702</v>
      </c>
    </row>
    <row r="40" spans="1:2" x14ac:dyDescent="0.35">
      <c r="A40" s="3" t="s">
        <v>703</v>
      </c>
      <c r="B40" s="2" t="s">
        <v>704</v>
      </c>
    </row>
    <row r="41" spans="1:2" x14ac:dyDescent="0.35">
      <c r="A41" s="3" t="s">
        <v>705</v>
      </c>
      <c r="B41" s="2" t="s">
        <v>706</v>
      </c>
    </row>
    <row r="42" spans="1:2" x14ac:dyDescent="0.35">
      <c r="A42" s="2"/>
      <c r="B4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Scoring Matrix</vt:lpstr>
      <vt:lpstr>Domain Summary</vt:lpstr>
      <vt:lpstr>Radar Data</vt:lpstr>
      <vt:lpstr>Methodology</vt:lpstr>
      <vt:lpstr>Mapping</vt:lpstr>
      <vt:lpstr>Abbreviations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 Dhanker</dc:creator>
  <cp:lastModifiedBy>Vik Dhanker</cp:lastModifiedBy>
  <dcterms:created xsi:type="dcterms:W3CDTF">2025-12-04T19:43:55Z</dcterms:created>
  <dcterms:modified xsi:type="dcterms:W3CDTF">2025-12-18T16:41:53Z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0d2544-b60a-43e7-b997-17bebe313d3a_Enabled">
    <vt:lpwstr>true</vt:lpwstr>
  </property>
  <property fmtid="{D5CDD505-2E9C-101B-9397-08002B2CF9AE}" pid="3" name="MSIP_Label_840d2544-b60a-43e7-b997-17bebe313d3a_SetDate">
    <vt:lpwstr>2025-12-04T23:03:59Z</vt:lpwstr>
  </property>
  <property fmtid="{D5CDD505-2E9C-101B-9397-08002B2CF9AE}" pid="4" name="MSIP_Label_840d2544-b60a-43e7-b997-17bebe313d3a_Method">
    <vt:lpwstr>Privileged</vt:lpwstr>
  </property>
  <property fmtid="{D5CDD505-2E9C-101B-9397-08002B2CF9AE}" pid="5" name="MSIP_Label_840d2544-b60a-43e7-b997-17bebe313d3a_Name">
    <vt:lpwstr>Internal - Marked</vt:lpwstr>
  </property>
  <property fmtid="{D5CDD505-2E9C-101B-9397-08002B2CF9AE}" pid="6" name="MSIP_Label_840d2544-b60a-43e7-b997-17bebe313d3a_SiteId">
    <vt:lpwstr>54946ffc-68d3-4955-ac70-dca726d445b4</vt:lpwstr>
  </property>
  <property fmtid="{D5CDD505-2E9C-101B-9397-08002B2CF9AE}" pid="7" name="MSIP_Label_840d2544-b60a-43e7-b997-17bebe313d3a_ActionId">
    <vt:lpwstr>9051ed82-eff3-4d25-a51b-b487ba91cb9e</vt:lpwstr>
  </property>
  <property fmtid="{D5CDD505-2E9C-101B-9397-08002B2CF9AE}" pid="8" name="MSIP_Label_840d2544-b60a-43e7-b997-17bebe313d3a_ContentBits">
    <vt:lpwstr>1</vt:lpwstr>
  </property>
  <property fmtid="{D5CDD505-2E9C-101B-9397-08002B2CF9AE}" pid="9" name="MSIP_Label_840d2544-b60a-43e7-b997-17bebe313d3a_Tag">
    <vt:lpwstr>10, 0, 1, 1</vt:lpwstr>
  </property>
</Properties>
</file>